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5B295319-CCBD-4A16-8D3A-4687189E6AE6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xFUqnFiOKd48rqBF9FlyRBpUMyJ/PM6jpuIvYafOpA="/>
    </ext>
  </extLst>
</workbook>
</file>

<file path=xl/calcChain.xml><?xml version="1.0" encoding="utf-8"?>
<calcChain xmlns="http://schemas.openxmlformats.org/spreadsheetml/2006/main">
  <c r="AH64" i="1" l="1"/>
  <c r="AA64" i="1"/>
  <c r="Z64" i="1"/>
  <c r="Y64" i="1"/>
  <c r="BX63" i="1"/>
  <c r="BW63" i="1"/>
  <c r="BV63" i="1"/>
  <c r="BT63" i="1"/>
  <c r="BR63" i="1"/>
  <c r="BP63" i="1"/>
  <c r="BN63" i="1"/>
  <c r="BL63" i="1"/>
  <c r="BJ63" i="1"/>
  <c r="BH63" i="1"/>
  <c r="BF63" i="1"/>
  <c r="BD63" i="1"/>
  <c r="AJ63" i="1"/>
  <c r="AH63" i="1"/>
  <c r="Z63" i="1"/>
  <c r="Y63" i="1"/>
  <c r="AA63" i="1" s="1"/>
  <c r="BX62" i="1"/>
  <c r="BW62" i="1"/>
  <c r="BV62" i="1"/>
  <c r="BT62" i="1"/>
  <c r="BR62" i="1"/>
  <c r="BP62" i="1"/>
  <c r="BN62" i="1"/>
  <c r="BL62" i="1"/>
  <c r="BJ62" i="1"/>
  <c r="BH62" i="1"/>
  <c r="BF62" i="1"/>
  <c r="BD62" i="1"/>
  <c r="AJ62" i="1"/>
  <c r="AH62" i="1"/>
  <c r="Z62" i="1"/>
  <c r="Y62" i="1"/>
  <c r="AA62" i="1" s="1"/>
  <c r="BX61" i="1"/>
  <c r="BW61" i="1"/>
  <c r="BV61" i="1"/>
  <c r="BT61" i="1"/>
  <c r="BR61" i="1"/>
  <c r="BP61" i="1"/>
  <c r="BN61" i="1"/>
  <c r="BL61" i="1"/>
  <c r="BJ61" i="1"/>
  <c r="BH61" i="1"/>
  <c r="BF61" i="1"/>
  <c r="BD61" i="1"/>
  <c r="AJ61" i="1"/>
  <c r="AH61" i="1"/>
  <c r="Z61" i="1"/>
  <c r="Y61" i="1"/>
  <c r="AA61" i="1" s="1"/>
  <c r="BX60" i="1"/>
  <c r="BW60" i="1"/>
  <c r="BV60" i="1"/>
  <c r="BT60" i="1"/>
  <c r="BR60" i="1"/>
  <c r="BP60" i="1"/>
  <c r="BN60" i="1"/>
  <c r="BL60" i="1"/>
  <c r="BJ60" i="1"/>
  <c r="BH60" i="1"/>
  <c r="BF60" i="1"/>
  <c r="BD60" i="1"/>
  <c r="AJ60" i="1"/>
  <c r="AH60" i="1"/>
  <c r="Z60" i="1"/>
  <c r="Y60" i="1"/>
  <c r="AA60" i="1" s="1"/>
  <c r="BX59" i="1"/>
  <c r="BW59" i="1"/>
  <c r="BV59" i="1"/>
  <c r="BT59" i="1"/>
  <c r="BR59" i="1"/>
  <c r="BP59" i="1"/>
  <c r="BN59" i="1"/>
  <c r="BL59" i="1"/>
  <c r="BJ59" i="1"/>
  <c r="BH59" i="1"/>
  <c r="BF59" i="1"/>
  <c r="BD59" i="1"/>
  <c r="AJ59" i="1"/>
  <c r="AH59" i="1"/>
  <c r="Z59" i="1"/>
  <c r="Y59" i="1"/>
  <c r="AA59" i="1" s="1"/>
  <c r="BX58" i="1"/>
  <c r="BW58" i="1"/>
  <c r="BV58" i="1"/>
  <c r="BT58" i="1"/>
  <c r="BR58" i="1"/>
  <c r="BP58" i="1"/>
  <c r="BN58" i="1"/>
  <c r="BL58" i="1"/>
  <c r="BJ58" i="1"/>
  <c r="BH58" i="1"/>
  <c r="BF58" i="1"/>
  <c r="BD58" i="1"/>
  <c r="AJ58" i="1"/>
  <c r="AH58" i="1"/>
  <c r="Z58" i="1"/>
  <c r="Y58" i="1"/>
  <c r="AA58" i="1" s="1"/>
  <c r="BX57" i="1"/>
  <c r="BW57" i="1"/>
  <c r="BV57" i="1"/>
  <c r="BT57" i="1"/>
  <c r="BR57" i="1"/>
  <c r="BP57" i="1"/>
  <c r="BN57" i="1"/>
  <c r="BL57" i="1"/>
  <c r="BJ57" i="1"/>
  <c r="BH57" i="1"/>
  <c r="BF57" i="1"/>
  <c r="BD57" i="1"/>
  <c r="AJ57" i="1"/>
  <c r="AH57" i="1"/>
  <c r="Z57" i="1"/>
  <c r="Y57" i="1"/>
  <c r="AA57" i="1" s="1"/>
  <c r="BX56" i="1"/>
  <c r="BW56" i="1"/>
  <c r="BV56" i="1"/>
  <c r="BT56" i="1"/>
  <c r="BR56" i="1"/>
  <c r="BP56" i="1"/>
  <c r="BN56" i="1"/>
  <c r="BL56" i="1"/>
  <c r="BJ56" i="1"/>
  <c r="BH56" i="1"/>
  <c r="BF56" i="1"/>
  <c r="BD56" i="1"/>
  <c r="AJ56" i="1"/>
  <c r="AH56" i="1"/>
  <c r="Z56" i="1"/>
  <c r="Y56" i="1"/>
  <c r="AA56" i="1" s="1"/>
  <c r="BX55" i="1"/>
  <c r="BW55" i="1"/>
  <c r="BV55" i="1"/>
  <c r="BT55" i="1"/>
  <c r="BR55" i="1"/>
  <c r="BP55" i="1"/>
  <c r="BN55" i="1"/>
  <c r="BL55" i="1"/>
  <c r="BJ55" i="1"/>
  <c r="BH55" i="1"/>
  <c r="BF55" i="1"/>
  <c r="BD55" i="1"/>
  <c r="AJ55" i="1"/>
  <c r="AH55" i="1"/>
  <c r="Z55" i="1"/>
  <c r="Y55" i="1"/>
  <c r="AA55" i="1" s="1"/>
  <c r="BX54" i="1"/>
  <c r="BW54" i="1"/>
  <c r="BV54" i="1"/>
  <c r="BT54" i="1"/>
  <c r="BR54" i="1"/>
  <c r="BP54" i="1"/>
  <c r="BN54" i="1"/>
  <c r="BL54" i="1"/>
  <c r="BJ54" i="1"/>
  <c r="BH54" i="1"/>
  <c r="BF54" i="1"/>
  <c r="BD54" i="1"/>
  <c r="AJ54" i="1"/>
  <c r="AH54" i="1"/>
  <c r="Z54" i="1"/>
  <c r="Y54" i="1"/>
  <c r="AA54" i="1" s="1"/>
  <c r="BX53" i="1"/>
  <c r="BW53" i="1"/>
  <c r="BV53" i="1"/>
  <c r="BT53" i="1"/>
  <c r="BR53" i="1"/>
  <c r="BP53" i="1"/>
  <c r="BN53" i="1"/>
  <c r="BL53" i="1"/>
  <c r="BJ53" i="1"/>
  <c r="BH53" i="1"/>
  <c r="BF53" i="1"/>
  <c r="BD53" i="1"/>
  <c r="AJ53" i="1"/>
  <c r="AH53" i="1"/>
  <c r="Z53" i="1"/>
  <c r="Y53" i="1"/>
  <c r="AA53" i="1" s="1"/>
  <c r="BX52" i="1"/>
  <c r="BW52" i="1"/>
  <c r="BV52" i="1"/>
  <c r="BT52" i="1"/>
  <c r="BR52" i="1"/>
  <c r="BP52" i="1"/>
  <c r="BN52" i="1"/>
  <c r="BL52" i="1"/>
  <c r="BJ52" i="1"/>
  <c r="BH52" i="1"/>
  <c r="BF52" i="1"/>
  <c r="BD52" i="1"/>
  <c r="AJ52" i="1"/>
  <c r="AH52" i="1"/>
  <c r="Z52" i="1"/>
  <c r="Y52" i="1"/>
  <c r="AA52" i="1" s="1"/>
  <c r="BX51" i="1"/>
  <c r="BW51" i="1"/>
  <c r="BV51" i="1"/>
  <c r="BT51" i="1"/>
  <c r="BR51" i="1"/>
  <c r="BP51" i="1"/>
  <c r="BN51" i="1"/>
  <c r="BL51" i="1"/>
  <c r="BJ51" i="1"/>
  <c r="BH51" i="1"/>
  <c r="BF51" i="1"/>
  <c r="BD51" i="1"/>
  <c r="AJ51" i="1"/>
  <c r="AH51" i="1"/>
  <c r="Z51" i="1"/>
  <c r="Y51" i="1"/>
  <c r="AA51" i="1" s="1"/>
  <c r="BX50" i="1"/>
  <c r="BW50" i="1"/>
  <c r="BV50" i="1"/>
  <c r="BT50" i="1"/>
  <c r="BR50" i="1"/>
  <c r="BP50" i="1"/>
  <c r="BN50" i="1"/>
  <c r="BL50" i="1"/>
  <c r="BJ50" i="1"/>
  <c r="BH50" i="1"/>
  <c r="BF50" i="1"/>
  <c r="BD50" i="1"/>
  <c r="AJ50" i="1"/>
  <c r="AH50" i="1"/>
  <c r="Z50" i="1"/>
  <c r="AA50" i="1" s="1"/>
  <c r="Y50" i="1"/>
  <c r="BX49" i="1"/>
  <c r="BW49" i="1"/>
  <c r="BV49" i="1"/>
  <c r="BT49" i="1"/>
  <c r="BR49" i="1"/>
  <c r="BP49" i="1"/>
  <c r="BN49" i="1"/>
  <c r="BL49" i="1"/>
  <c r="BJ49" i="1"/>
  <c r="BH49" i="1"/>
  <c r="BF49" i="1"/>
  <c r="BD49" i="1"/>
  <c r="AJ49" i="1"/>
  <c r="AH49" i="1"/>
  <c r="AA49" i="1"/>
  <c r="Z49" i="1"/>
  <c r="Y49" i="1"/>
  <c r="BX48" i="1"/>
  <c r="BW48" i="1"/>
  <c r="BV48" i="1"/>
  <c r="BT48" i="1"/>
  <c r="BR48" i="1"/>
  <c r="BP48" i="1"/>
  <c r="BN48" i="1"/>
  <c r="BL48" i="1"/>
  <c r="BJ48" i="1"/>
  <c r="BH48" i="1"/>
  <c r="BF48" i="1"/>
  <c r="BD48" i="1"/>
  <c r="AJ48" i="1"/>
  <c r="AH48" i="1"/>
  <c r="AA48" i="1"/>
  <c r="Z48" i="1"/>
  <c r="Y48" i="1"/>
  <c r="BX47" i="1"/>
  <c r="BW47" i="1"/>
  <c r="BV47" i="1"/>
  <c r="BT47" i="1"/>
  <c r="BR47" i="1"/>
  <c r="BP47" i="1"/>
  <c r="BN47" i="1"/>
  <c r="BL47" i="1"/>
  <c r="BJ47" i="1"/>
  <c r="BH47" i="1"/>
  <c r="BF47" i="1"/>
  <c r="BD47" i="1"/>
  <c r="AJ47" i="1"/>
  <c r="AH47" i="1"/>
  <c r="Z47" i="1"/>
  <c r="Y47" i="1"/>
  <c r="AA47" i="1" s="1"/>
  <c r="BX46" i="1"/>
  <c r="BW46" i="1"/>
  <c r="BV46" i="1"/>
  <c r="BT46" i="1"/>
  <c r="BR46" i="1"/>
  <c r="BP46" i="1"/>
  <c r="BN46" i="1"/>
  <c r="BL46" i="1"/>
  <c r="BJ46" i="1"/>
  <c r="BH46" i="1"/>
  <c r="BF46" i="1"/>
  <c r="BD46" i="1"/>
  <c r="AJ46" i="1"/>
  <c r="AH46" i="1"/>
  <c r="Z46" i="1"/>
  <c r="Y46" i="1"/>
  <c r="AA46" i="1" s="1"/>
  <c r="BX45" i="1"/>
  <c r="BW45" i="1"/>
  <c r="BV45" i="1"/>
  <c r="BT45" i="1"/>
  <c r="BR45" i="1"/>
  <c r="BP45" i="1"/>
  <c r="BN45" i="1"/>
  <c r="BL45" i="1"/>
  <c r="BJ45" i="1"/>
  <c r="BH45" i="1"/>
  <c r="BF45" i="1"/>
  <c r="BD45" i="1"/>
  <c r="AJ45" i="1"/>
  <c r="AH45" i="1"/>
  <c r="Z45" i="1"/>
  <c r="Y45" i="1"/>
  <c r="AA45" i="1" s="1"/>
  <c r="BX44" i="1"/>
  <c r="BW44" i="1"/>
  <c r="BV44" i="1"/>
  <c r="BT44" i="1"/>
  <c r="BR44" i="1"/>
  <c r="BP44" i="1"/>
  <c r="BN44" i="1"/>
  <c r="BL44" i="1"/>
  <c r="BJ44" i="1"/>
  <c r="BH44" i="1"/>
  <c r="BF44" i="1"/>
  <c r="BD44" i="1"/>
  <c r="AJ44" i="1"/>
  <c r="AH44" i="1"/>
  <c r="Z44" i="1"/>
  <c r="Y44" i="1"/>
  <c r="AA44" i="1" s="1"/>
  <c r="BX43" i="1"/>
  <c r="BW43" i="1"/>
  <c r="BV43" i="1"/>
  <c r="BT43" i="1"/>
  <c r="BR43" i="1"/>
  <c r="BP43" i="1"/>
  <c r="BN43" i="1"/>
  <c r="BL43" i="1"/>
  <c r="BJ43" i="1"/>
  <c r="BH43" i="1"/>
  <c r="BF43" i="1"/>
  <c r="BD43" i="1"/>
  <c r="AJ43" i="1"/>
  <c r="AH43" i="1"/>
  <c r="Z43" i="1"/>
  <c r="Y43" i="1"/>
  <c r="AA43" i="1" s="1"/>
  <c r="BX42" i="1"/>
  <c r="BW42" i="1"/>
  <c r="BV42" i="1"/>
  <c r="BT42" i="1"/>
  <c r="BR42" i="1"/>
  <c r="BP42" i="1"/>
  <c r="BN42" i="1"/>
  <c r="BL42" i="1"/>
  <c r="BJ42" i="1"/>
  <c r="BH42" i="1"/>
  <c r="BF42" i="1"/>
  <c r="BD42" i="1"/>
  <c r="AJ42" i="1"/>
  <c r="AH42" i="1"/>
  <c r="Z42" i="1"/>
  <c r="Y42" i="1"/>
  <c r="AA42" i="1" s="1"/>
  <c r="BX41" i="1"/>
  <c r="BW41" i="1"/>
  <c r="BV41" i="1"/>
  <c r="BT41" i="1"/>
  <c r="BR41" i="1"/>
  <c r="BP41" i="1"/>
  <c r="BN41" i="1"/>
  <c r="BL41" i="1"/>
  <c r="BJ41" i="1"/>
  <c r="BH41" i="1"/>
  <c r="BF41" i="1"/>
  <c r="BD41" i="1"/>
  <c r="AJ41" i="1"/>
  <c r="AH41" i="1"/>
  <c r="Z41" i="1"/>
  <c r="Y41" i="1"/>
  <c r="AA41" i="1" s="1"/>
  <c r="BX40" i="1"/>
  <c r="BW40" i="1"/>
  <c r="BV40" i="1"/>
  <c r="BT40" i="1"/>
  <c r="BR40" i="1"/>
  <c r="BP40" i="1"/>
  <c r="BN40" i="1"/>
  <c r="BL40" i="1"/>
  <c r="BJ40" i="1"/>
  <c r="BH40" i="1"/>
  <c r="BF40" i="1"/>
  <c r="BD40" i="1"/>
  <c r="AJ40" i="1"/>
  <c r="AH40" i="1"/>
  <c r="Z40" i="1"/>
  <c r="Y40" i="1"/>
  <c r="AA40" i="1" s="1"/>
  <c r="BX39" i="1"/>
  <c r="BW39" i="1"/>
  <c r="BV39" i="1"/>
  <c r="BT39" i="1"/>
  <c r="BR39" i="1"/>
  <c r="BP39" i="1"/>
  <c r="BN39" i="1"/>
  <c r="BL39" i="1"/>
  <c r="BJ39" i="1"/>
  <c r="BH39" i="1"/>
  <c r="BF39" i="1"/>
  <c r="BD39" i="1"/>
  <c r="AJ39" i="1"/>
  <c r="AH39" i="1"/>
  <c r="Z39" i="1"/>
  <c r="Y39" i="1"/>
  <c r="AA39" i="1" s="1"/>
  <c r="BX38" i="1"/>
  <c r="BW38" i="1"/>
  <c r="BV38" i="1"/>
  <c r="BT38" i="1"/>
  <c r="BR38" i="1"/>
  <c r="BP38" i="1"/>
  <c r="BN38" i="1"/>
  <c r="BL38" i="1"/>
  <c r="BJ38" i="1"/>
  <c r="BH38" i="1"/>
  <c r="BF38" i="1"/>
  <c r="BD38" i="1"/>
  <c r="AJ38" i="1"/>
  <c r="AH38" i="1"/>
  <c r="Z38" i="1"/>
  <c r="Y38" i="1"/>
  <c r="AA38" i="1" s="1"/>
  <c r="BX37" i="1"/>
  <c r="BW37" i="1"/>
  <c r="BV37" i="1"/>
  <c r="BT37" i="1"/>
  <c r="BR37" i="1"/>
  <c r="BP37" i="1"/>
  <c r="BN37" i="1"/>
  <c r="BL37" i="1"/>
  <c r="BJ37" i="1"/>
  <c r="BH37" i="1"/>
  <c r="BF37" i="1"/>
  <c r="BD37" i="1"/>
  <c r="AJ37" i="1"/>
  <c r="AH37" i="1"/>
  <c r="Z37" i="1"/>
  <c r="Y37" i="1"/>
  <c r="AA37" i="1" s="1"/>
  <c r="BX36" i="1"/>
  <c r="BW36" i="1"/>
  <c r="BV36" i="1"/>
  <c r="BT36" i="1"/>
  <c r="BR36" i="1"/>
  <c r="BP36" i="1"/>
  <c r="BN36" i="1"/>
  <c r="BL36" i="1"/>
  <c r="BJ36" i="1"/>
  <c r="BH36" i="1"/>
  <c r="BF36" i="1"/>
  <c r="BD36" i="1"/>
  <c r="AJ36" i="1"/>
  <c r="AH36" i="1"/>
  <c r="Z36" i="1"/>
  <c r="Y36" i="1"/>
  <c r="AA36" i="1" s="1"/>
  <c r="BX35" i="1"/>
  <c r="BW35" i="1"/>
  <c r="BV35" i="1"/>
  <c r="BT35" i="1"/>
  <c r="BR35" i="1"/>
  <c r="BP35" i="1"/>
  <c r="BN35" i="1"/>
  <c r="BL35" i="1"/>
  <c r="BJ35" i="1"/>
  <c r="BH35" i="1"/>
  <c r="BF35" i="1"/>
  <c r="BD35" i="1"/>
  <c r="AJ35" i="1"/>
  <c r="AH35" i="1"/>
  <c r="Z35" i="1"/>
  <c r="Y35" i="1"/>
  <c r="AA35" i="1" s="1"/>
  <c r="BX34" i="1"/>
  <c r="BW34" i="1"/>
  <c r="BV34" i="1"/>
  <c r="BT34" i="1"/>
  <c r="BR34" i="1"/>
  <c r="BP34" i="1"/>
  <c r="BN34" i="1"/>
  <c r="BL34" i="1"/>
  <c r="BJ34" i="1"/>
  <c r="BH34" i="1"/>
  <c r="BF34" i="1"/>
  <c r="BD34" i="1"/>
  <c r="AJ34" i="1"/>
  <c r="AH34" i="1"/>
  <c r="Z34" i="1"/>
  <c r="AA34" i="1" s="1"/>
  <c r="Y34" i="1"/>
  <c r="BX33" i="1"/>
  <c r="BW33" i="1"/>
  <c r="BV33" i="1"/>
  <c r="BT33" i="1"/>
  <c r="BR33" i="1"/>
  <c r="BP33" i="1"/>
  <c r="BN33" i="1"/>
  <c r="BL33" i="1"/>
  <c r="BJ33" i="1"/>
  <c r="BH33" i="1"/>
  <c r="BF33" i="1"/>
  <c r="BD33" i="1"/>
  <c r="AJ33" i="1"/>
  <c r="AH33" i="1"/>
  <c r="AA33" i="1"/>
  <c r="Z33" i="1"/>
  <c r="Y33" i="1"/>
  <c r="BX32" i="1"/>
  <c r="BW32" i="1"/>
  <c r="BV32" i="1"/>
  <c r="BT32" i="1"/>
  <c r="BR32" i="1"/>
  <c r="BP32" i="1"/>
  <c r="BN32" i="1"/>
  <c r="BL32" i="1"/>
  <c r="BJ32" i="1"/>
  <c r="BH32" i="1"/>
  <c r="BF32" i="1"/>
  <c r="BD32" i="1"/>
  <c r="AJ32" i="1"/>
  <c r="AH32" i="1"/>
  <c r="Z32" i="1"/>
  <c r="Y32" i="1"/>
  <c r="AA32" i="1" s="1"/>
  <c r="BX31" i="1"/>
  <c r="BW31" i="1"/>
  <c r="BV31" i="1"/>
  <c r="BT31" i="1"/>
  <c r="BR31" i="1"/>
  <c r="BP31" i="1"/>
  <c r="BN31" i="1"/>
  <c r="BL31" i="1"/>
  <c r="BJ31" i="1"/>
  <c r="BH31" i="1"/>
  <c r="BF31" i="1"/>
  <c r="BD31" i="1"/>
  <c r="AJ31" i="1"/>
  <c r="AH31" i="1"/>
  <c r="Z31" i="1"/>
  <c r="Y31" i="1"/>
  <c r="AA31" i="1" s="1"/>
  <c r="BX30" i="1"/>
  <c r="BW30" i="1"/>
  <c r="BV30" i="1"/>
  <c r="BT30" i="1"/>
  <c r="BR30" i="1"/>
  <c r="BP30" i="1"/>
  <c r="BN30" i="1"/>
  <c r="BL30" i="1"/>
  <c r="BJ30" i="1"/>
  <c r="BH30" i="1"/>
  <c r="BF30" i="1"/>
  <c r="BD30" i="1"/>
  <c r="AJ30" i="1"/>
  <c r="AH30" i="1"/>
  <c r="Z30" i="1"/>
  <c r="Y30" i="1"/>
  <c r="AA30" i="1" s="1"/>
  <c r="BX29" i="1"/>
  <c r="BW29" i="1"/>
  <c r="BV29" i="1"/>
  <c r="BT29" i="1"/>
  <c r="BR29" i="1"/>
  <c r="BP29" i="1"/>
  <c r="BN29" i="1"/>
  <c r="BL29" i="1"/>
  <c r="BJ29" i="1"/>
  <c r="BH29" i="1"/>
  <c r="BF29" i="1"/>
  <c r="BD29" i="1"/>
  <c r="AJ29" i="1"/>
  <c r="AH29" i="1"/>
  <c r="Z29" i="1"/>
  <c r="Y29" i="1"/>
  <c r="AA29" i="1" s="1"/>
  <c r="BX28" i="1"/>
  <c r="BW28" i="1"/>
  <c r="BV28" i="1"/>
  <c r="BT28" i="1"/>
  <c r="BR28" i="1"/>
  <c r="BP28" i="1"/>
  <c r="BN28" i="1"/>
  <c r="BL28" i="1"/>
  <c r="BJ28" i="1"/>
  <c r="BH28" i="1"/>
  <c r="BF28" i="1"/>
  <c r="BD28" i="1"/>
  <c r="AJ28" i="1"/>
  <c r="AH28" i="1"/>
  <c r="Z28" i="1"/>
  <c r="Y28" i="1"/>
  <c r="AA28" i="1" s="1"/>
  <c r="BX27" i="1"/>
  <c r="BW27" i="1"/>
  <c r="BV27" i="1"/>
  <c r="BT27" i="1"/>
  <c r="BR27" i="1"/>
  <c r="BP27" i="1"/>
  <c r="BN27" i="1"/>
  <c r="BL27" i="1"/>
  <c r="BJ27" i="1"/>
  <c r="BH27" i="1"/>
  <c r="BF27" i="1"/>
  <c r="BD27" i="1"/>
  <c r="AJ27" i="1"/>
  <c r="AH27" i="1"/>
  <c r="Z27" i="1"/>
  <c r="Y27" i="1"/>
  <c r="AA27" i="1" s="1"/>
  <c r="BX26" i="1"/>
  <c r="BW26" i="1"/>
  <c r="BV26" i="1"/>
  <c r="BT26" i="1"/>
  <c r="BR26" i="1"/>
  <c r="BP26" i="1"/>
  <c r="BN26" i="1"/>
  <c r="BL26" i="1"/>
  <c r="BJ26" i="1"/>
  <c r="BH26" i="1"/>
  <c r="BF26" i="1"/>
  <c r="BD26" i="1"/>
  <c r="AJ26" i="1"/>
  <c r="AH26" i="1"/>
  <c r="Z26" i="1"/>
  <c r="Y26" i="1"/>
  <c r="AA26" i="1" s="1"/>
  <c r="BX25" i="1"/>
  <c r="BW25" i="1"/>
  <c r="BV25" i="1"/>
  <c r="BT25" i="1"/>
  <c r="BR25" i="1"/>
  <c r="BP25" i="1"/>
  <c r="BN25" i="1"/>
  <c r="BL25" i="1"/>
  <c r="BJ25" i="1"/>
  <c r="BH25" i="1"/>
  <c r="BF25" i="1"/>
  <c r="BD25" i="1"/>
  <c r="AJ25" i="1"/>
  <c r="AH25" i="1"/>
  <c r="Z25" i="1"/>
  <c r="Y25" i="1"/>
  <c r="AA25" i="1" s="1"/>
  <c r="BX24" i="1"/>
  <c r="BW24" i="1"/>
  <c r="BV24" i="1"/>
  <c r="BT24" i="1"/>
  <c r="BR24" i="1"/>
  <c r="BP24" i="1"/>
  <c r="BN24" i="1"/>
  <c r="BL24" i="1"/>
  <c r="BJ24" i="1"/>
  <c r="BH24" i="1"/>
  <c r="BF24" i="1"/>
  <c r="BD24" i="1"/>
  <c r="AJ24" i="1"/>
  <c r="AH24" i="1"/>
  <c r="Z24" i="1"/>
  <c r="Y24" i="1"/>
  <c r="AA24" i="1" s="1"/>
  <c r="BX23" i="1"/>
  <c r="BW23" i="1"/>
  <c r="BV23" i="1"/>
  <c r="BT23" i="1"/>
  <c r="BR23" i="1"/>
  <c r="BP23" i="1"/>
  <c r="BN23" i="1"/>
  <c r="BL23" i="1"/>
  <c r="BJ23" i="1"/>
  <c r="BH23" i="1"/>
  <c r="BF23" i="1"/>
  <c r="BD23" i="1"/>
  <c r="AJ23" i="1"/>
  <c r="AH23" i="1"/>
  <c r="Z23" i="1"/>
  <c r="Y23" i="1"/>
  <c r="AA23" i="1" s="1"/>
  <c r="BX22" i="1"/>
  <c r="BW22" i="1"/>
  <c r="BV22" i="1"/>
  <c r="BT22" i="1"/>
  <c r="BR22" i="1"/>
  <c r="BP22" i="1"/>
  <c r="BN22" i="1"/>
  <c r="BL22" i="1"/>
  <c r="BJ22" i="1"/>
  <c r="BH22" i="1"/>
  <c r="BF22" i="1"/>
  <c r="BD22" i="1"/>
  <c r="AJ22" i="1"/>
  <c r="AH22" i="1"/>
  <c r="Z22" i="1"/>
  <c r="Y22" i="1"/>
  <c r="AA22" i="1" s="1"/>
  <c r="BX21" i="1"/>
  <c r="BW21" i="1"/>
  <c r="BV21" i="1"/>
  <c r="BT21" i="1"/>
  <c r="BR21" i="1"/>
  <c r="BP21" i="1"/>
  <c r="BN21" i="1"/>
  <c r="BL21" i="1"/>
  <c r="BJ21" i="1"/>
  <c r="BH21" i="1"/>
  <c r="BF21" i="1"/>
  <c r="BD21" i="1"/>
  <c r="AJ21" i="1"/>
  <c r="AH21" i="1"/>
  <c r="Z21" i="1"/>
  <c r="Y21" i="1"/>
  <c r="AA21" i="1" s="1"/>
  <c r="BX20" i="1"/>
  <c r="BW20" i="1"/>
  <c r="BV20" i="1"/>
  <c r="BT20" i="1"/>
  <c r="BR20" i="1"/>
  <c r="BP20" i="1"/>
  <c r="BN20" i="1"/>
  <c r="BL20" i="1"/>
  <c r="BJ20" i="1"/>
  <c r="BH20" i="1"/>
  <c r="BF20" i="1"/>
  <c r="BD20" i="1"/>
  <c r="AJ20" i="1"/>
  <c r="AH20" i="1"/>
  <c r="Z20" i="1"/>
  <c r="Y20" i="1"/>
  <c r="AA20" i="1" s="1"/>
  <c r="BX19" i="1"/>
  <c r="BW19" i="1"/>
  <c r="BV19" i="1"/>
  <c r="BT19" i="1"/>
  <c r="BR19" i="1"/>
  <c r="BP19" i="1"/>
  <c r="BN19" i="1"/>
  <c r="BL19" i="1"/>
  <c r="BJ19" i="1"/>
  <c r="BH19" i="1"/>
  <c r="BF19" i="1"/>
  <c r="BD19" i="1"/>
  <c r="AJ19" i="1"/>
  <c r="AH19" i="1"/>
  <c r="Z19" i="1"/>
  <c r="Y19" i="1"/>
  <c r="AA19" i="1" s="1"/>
  <c r="BX18" i="1"/>
  <c r="BW18" i="1"/>
  <c r="BV18" i="1"/>
  <c r="BT18" i="1"/>
  <c r="BR18" i="1"/>
  <c r="BP18" i="1"/>
  <c r="BN18" i="1"/>
  <c r="BL18" i="1"/>
  <c r="BJ18" i="1"/>
  <c r="BH18" i="1"/>
  <c r="BF18" i="1"/>
  <c r="BD18" i="1"/>
  <c r="AJ18" i="1"/>
  <c r="AH18" i="1"/>
  <c r="Z18" i="1"/>
  <c r="AA18" i="1" s="1"/>
  <c r="Y18" i="1"/>
  <c r="BX17" i="1"/>
  <c r="BW17" i="1"/>
  <c r="BV17" i="1"/>
  <c r="BT17" i="1"/>
  <c r="BR17" i="1"/>
  <c r="BP17" i="1"/>
  <c r="BN17" i="1"/>
  <c r="BL17" i="1"/>
  <c r="BJ17" i="1"/>
  <c r="BH17" i="1"/>
  <c r="BF17" i="1"/>
  <c r="BD17" i="1"/>
  <c r="AJ17" i="1"/>
  <c r="AH17" i="1"/>
  <c r="AA17" i="1"/>
  <c r="Z17" i="1"/>
  <c r="Y17" i="1"/>
  <c r="BX16" i="1"/>
  <c r="BW16" i="1"/>
  <c r="BV16" i="1"/>
  <c r="BT16" i="1"/>
  <c r="BR16" i="1"/>
  <c r="BP16" i="1"/>
  <c r="BN16" i="1"/>
  <c r="BL16" i="1"/>
  <c r="BJ16" i="1"/>
  <c r="BH16" i="1"/>
  <c r="BF16" i="1"/>
  <c r="BD16" i="1"/>
  <c r="AJ16" i="1"/>
  <c r="AH16" i="1"/>
  <c r="AA16" i="1"/>
  <c r="Z16" i="1"/>
  <c r="Y16" i="1"/>
  <c r="BX15" i="1"/>
  <c r="BW15" i="1"/>
  <c r="BV15" i="1"/>
  <c r="BT15" i="1"/>
  <c r="BR15" i="1"/>
  <c r="BP15" i="1"/>
  <c r="BN15" i="1"/>
  <c r="BL15" i="1"/>
  <c r="BJ15" i="1"/>
  <c r="BH15" i="1"/>
  <c r="BF15" i="1"/>
  <c r="BD15" i="1"/>
  <c r="AJ15" i="1"/>
  <c r="AH15" i="1"/>
  <c r="Z15" i="1"/>
  <c r="Y15" i="1"/>
  <c r="AA15" i="1" s="1"/>
  <c r="BX14" i="1"/>
  <c r="BW14" i="1"/>
  <c r="BV14" i="1"/>
  <c r="BT14" i="1"/>
  <c r="BR14" i="1"/>
  <c r="BP14" i="1"/>
  <c r="BN14" i="1"/>
  <c r="BL14" i="1"/>
  <c r="BJ14" i="1"/>
  <c r="BH14" i="1"/>
  <c r="BF14" i="1"/>
  <c r="BD14" i="1"/>
  <c r="AJ14" i="1"/>
  <c r="AH14" i="1"/>
  <c r="Z14" i="1"/>
  <c r="Y14" i="1"/>
  <c r="AA14" i="1" s="1"/>
  <c r="BX13" i="1"/>
  <c r="BW13" i="1"/>
  <c r="BV13" i="1"/>
  <c r="BT13" i="1"/>
  <c r="BR13" i="1"/>
  <c r="BP13" i="1"/>
  <c r="BN13" i="1"/>
  <c r="BL13" i="1"/>
  <c r="BJ13" i="1"/>
  <c r="BH13" i="1"/>
  <c r="BF13" i="1"/>
  <c r="BD13" i="1"/>
  <c r="Z13" i="1"/>
  <c r="Y13" i="1"/>
  <c r="AA13" i="1" s="1"/>
  <c r="BX11" i="1"/>
  <c r="BW11" i="1"/>
  <c r="BV11" i="1"/>
  <c r="BT11" i="1"/>
  <c r="BR11" i="1"/>
  <c r="BP11" i="1"/>
  <c r="BN11" i="1"/>
  <c r="BL11" i="1"/>
  <c r="BJ11" i="1"/>
  <c r="BH11" i="1"/>
  <c r="BF11" i="1"/>
  <c r="BD11" i="1"/>
  <c r="AJ11" i="1"/>
  <c r="AH11" i="1"/>
  <c r="Z11" i="1"/>
  <c r="Y11" i="1"/>
  <c r="AA11" i="1" s="1"/>
  <c r="BX10" i="1"/>
  <c r="BW10" i="1"/>
  <c r="BV10" i="1"/>
  <c r="BT10" i="1"/>
  <c r="BR10" i="1"/>
  <c r="BP10" i="1"/>
  <c r="BN10" i="1"/>
  <c r="BL10" i="1"/>
  <c r="BJ10" i="1"/>
  <c r="BH10" i="1"/>
  <c r="BF10" i="1"/>
  <c r="BD10" i="1"/>
  <c r="AJ10" i="1"/>
  <c r="AH10" i="1"/>
  <c r="Z10" i="1"/>
  <c r="Y10" i="1"/>
  <c r="AA10" i="1" s="1"/>
  <c r="BX9" i="1"/>
  <c r="BW9" i="1"/>
  <c r="BV9" i="1"/>
  <c r="BT9" i="1"/>
  <c r="BR9" i="1"/>
  <c r="BP9" i="1"/>
  <c r="BN9" i="1"/>
  <c r="BL9" i="1"/>
  <c r="BJ9" i="1"/>
  <c r="BH9" i="1"/>
  <c r="BF9" i="1"/>
  <c r="BD9" i="1"/>
  <c r="AJ9" i="1"/>
  <c r="AH9" i="1"/>
  <c r="AA9" i="1"/>
  <c r="Z9" i="1"/>
  <c r="Y9" i="1"/>
  <c r="BX8" i="1"/>
  <c r="BW8" i="1"/>
  <c r="BV8" i="1"/>
  <c r="BT8" i="1"/>
  <c r="BR8" i="1"/>
  <c r="BP8" i="1"/>
  <c r="BN8" i="1"/>
  <c r="BL8" i="1"/>
  <c r="BJ8" i="1"/>
  <c r="BH8" i="1"/>
  <c r="BF8" i="1"/>
  <c r="BD8" i="1"/>
  <c r="AJ8" i="1"/>
  <c r="AH8" i="1"/>
  <c r="Z8" i="1"/>
  <c r="Y8" i="1"/>
  <c r="AA8" i="1" s="1"/>
  <c r="BX7" i="1"/>
  <c r="BW7" i="1"/>
  <c r="BV7" i="1"/>
  <c r="BT7" i="1"/>
  <c r="BR7" i="1"/>
  <c r="BP7" i="1"/>
  <c r="BN7" i="1"/>
  <c r="BL7" i="1"/>
  <c r="BJ7" i="1"/>
  <c r="BH7" i="1"/>
  <c r="BF7" i="1"/>
  <c r="BD7" i="1"/>
  <c r="AJ7" i="1"/>
  <c r="AH7" i="1"/>
  <c r="Z7" i="1"/>
  <c r="Y7" i="1"/>
  <c r="AA7" i="1" s="1"/>
  <c r="BX6" i="1"/>
  <c r="BW6" i="1"/>
  <c r="BV6" i="1"/>
  <c r="BT6" i="1"/>
  <c r="BR6" i="1"/>
  <c r="BP6" i="1"/>
  <c r="BN6" i="1"/>
  <c r="BL6" i="1"/>
  <c r="BJ6" i="1"/>
  <c r="BH6" i="1"/>
  <c r="BF6" i="1"/>
  <c r="BD6" i="1"/>
  <c r="AJ6" i="1"/>
  <c r="AH6" i="1"/>
  <c r="Z6" i="1"/>
  <c r="Y6" i="1"/>
  <c r="AA6" i="1" s="1"/>
  <c r="BX5" i="1"/>
  <c r="BW5" i="1"/>
  <c r="BV5" i="1"/>
  <c r="BT5" i="1"/>
  <c r="BR5" i="1"/>
  <c r="BP5" i="1"/>
  <c r="BN5" i="1"/>
  <c r="BL5" i="1"/>
  <c r="BJ5" i="1"/>
  <c r="BH5" i="1"/>
  <c r="BF5" i="1"/>
  <c r="BD5" i="1"/>
  <c r="AJ5" i="1"/>
  <c r="AH5" i="1"/>
  <c r="Z5" i="1"/>
  <c r="Y5" i="1"/>
  <c r="AA5" i="1" s="1"/>
  <c r="BX4" i="1"/>
  <c r="BW4" i="1"/>
  <c r="BV4" i="1"/>
  <c r="BT4" i="1"/>
  <c r="BR4" i="1"/>
  <c r="BP4" i="1"/>
  <c r="BN4" i="1"/>
  <c r="BL4" i="1"/>
  <c r="BJ4" i="1"/>
  <c r="BH4" i="1"/>
  <c r="BF4" i="1"/>
  <c r="BD4" i="1"/>
  <c r="AJ4" i="1"/>
  <c r="AH4" i="1"/>
  <c r="Z4" i="1"/>
  <c r="Y4" i="1"/>
  <c r="AA4" i="1" s="1"/>
  <c r="BX3" i="1"/>
  <c r="BW3" i="1"/>
  <c r="BV3" i="1"/>
  <c r="BT3" i="1"/>
  <c r="BR3" i="1"/>
  <c r="BP3" i="1"/>
  <c r="BN3" i="1"/>
  <c r="BL3" i="1"/>
  <c r="BJ3" i="1"/>
  <c r="BH3" i="1"/>
  <c r="BF3" i="1"/>
  <c r="BD3" i="1"/>
  <c r="AJ3" i="1"/>
  <c r="AH3" i="1"/>
  <c r="Z3" i="1"/>
  <c r="Y3" i="1"/>
  <c r="AA3" i="1" s="1"/>
  <c r="BX2" i="1"/>
  <c r="BW2" i="1"/>
  <c r="BV2" i="1"/>
  <c r="BT2" i="1"/>
  <c r="BR2" i="1"/>
  <c r="BP2" i="1"/>
  <c r="BN2" i="1"/>
  <c r="BL2" i="1"/>
  <c r="BJ2" i="1"/>
  <c r="BH2" i="1"/>
  <c r="BF2" i="1"/>
  <c r="BD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<sst xmlns="http://schemas.openxmlformats.org/spreadsheetml/2006/main" count="332" uniqueCount="165">
  <si>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</si>
  <si>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</si>
  <si>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</si>
  <si>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</si>
  <si>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</si>
  <si>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</si>
  <si>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</si>
  <si>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</si>
  <si>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</si>
  <si>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</si>
  <si>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</si>
  <si>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</si>
  <si>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</si>
  <si>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</si>
  <si>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</si>
  <si>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</si>
  <si>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</si>
  <si>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</si>
  <si>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</si>
  <si>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</si>
  <si>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</si>
  <si>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</si>
  <si>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</si>
  <si>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</si>
  <si>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</si>
  <si>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</si>
  <si>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</si>
  <si>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</si>
  <si>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</si>
  <si>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</si>
  <si>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</si>
  <si>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</si>
  <si>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</si>
  <si>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</si>
  <si>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</si>
  <si>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</si>
  <si>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</si>
  <si>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</si>
  <si>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</si>
  <si>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</si>
  <si>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</si>
  <si>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</si>
  <si>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</si>
  <si>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</si>
  <si>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</si>
  <si>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</si>
  <si>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</si>
  <si>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</si>
  <si>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</si>
  <si>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</si>
  <si>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</si>
  <si>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</si>
  <si>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</si>
  <si>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</si>
  <si>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</si>
  <si>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</si>
  <si>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</si>
  <si>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</si>
  <si>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</si>
  <si>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</si>
  <si>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</si>
  <si>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</si>
  <si>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</si>
  <si>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</si>
  <si>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</si>
  <si>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</si>
  <si>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</si>
  <si>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</si>
  <si>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</si>
  <si>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</si>
  <si>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</si>
  <si>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</si>
  <si>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</si>
  <si>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</si>
  <si>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</si>
  <si>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</si>
  <si>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</si>
  <si>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</si>
  <si>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</si>
  <si>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</si>
  <si>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</si>
  <si>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</si>
  <si>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</si>
  <si>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</si>
  <si>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</si>
  <si>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</si>
  <si>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</si>
  <si>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</si>
  <si>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</si>
  <si>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</si>
  <si>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</si>
  <si>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</si>
  <si>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</si>
  <si>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</si>
  <si>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</si>
  <si>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</si>
  <si>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</si>
  <si>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</si>
  <si>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</si>
  <si>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</si>
  <si>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</si>
  <si>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</si>
  <si>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</si>
  <si>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</si>
  <si>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</si>
  <si>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</si>
  <si>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</si>
  <si>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</si>
  <si>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</si>
  <si>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</si>
  <si>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</si>
  <si>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</si>
  <si>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</si>
  <si>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</si>
  <si>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</si>
  <si>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</si>
  <si>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</si>
  <si>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</si>
  <si>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</si>
  <si>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</si>
  <si>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</si>
  <si>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</si>
  <si>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</si>
  <si>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</si>
  <si>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</si>
  <si>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</si>
  <si>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</si>
  <si>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</si>
  <si>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</si>
  <si>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</si>
  <si>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</si>
  <si>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</si>
  <si>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Mil</t>
  </si>
  <si>
    <t>MOSEYI</t>
  </si>
  <si>
    <t>NDZANA Anthony</t>
  </si>
  <si>
    <t xml:space="preserve">   </t>
  </si>
  <si>
    <t>NOSEL Adam</t>
  </si>
  <si>
    <t>ATT</t>
  </si>
  <si>
    <t>SOLVET Anddrys</t>
  </si>
  <si>
    <t>Exc</t>
  </si>
  <si>
    <t>TITALOM Matheo</t>
  </si>
  <si>
    <t>22, 5</t>
  </si>
  <si>
    <t>TSOUH Justin</t>
  </si>
  <si>
    <t>AFFOUM Layan</t>
  </si>
  <si>
    <t>ELITE</t>
  </si>
  <si>
    <t>AFONSO Flavio</t>
  </si>
  <si>
    <t>MIL</t>
  </si>
  <si>
    <t>AMORIM Theo</t>
  </si>
  <si>
    <t>Lat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</si>
  <si>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</si>
  <si>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</si>
  <si>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</si>
  <si>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</si>
  <si>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</si>
  <si>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</si>
  <si>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</si>
  <si>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</si>
  <si>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</si>
  <si>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</si>
  <si>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</si>
  <si>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</si>
  <si>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</si>
  <si>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</si>
  <si>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</si>
  <si>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DT exact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</si>
</sst>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8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&quot;Aptos Narrow&quot;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14" fontId="5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4" fontId="5" fillId="2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0" borderId="0" xfId="0" applyFont="1"/>
    <xf numFmtId="164" fontId="5" fillId="3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/>
    </xf>
    <xf numFmtId="165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X263">
  <tableColumns count="76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DT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Distance totale"/>
    <tableColumn id="49" xr3:uid="{00000000-0010-0000-0000-000031000000}" name="Distance HSR"/>
    <tableColumn id="50" xr3:uid="{00000000-0010-0000-0000-000032000000}" name="Distance Sprint (92% Vimax)"/>
    <tableColumn id="51" xr3:uid="{00000000-0010-0000-0000-000033000000}" name="Amax"/>
    <tableColumn id="52" xr3:uid="{00000000-0010-0000-0000-000034000000}" name="Dmax"/>
    <tableColumn id="53" xr3:uid="{00000000-0010-0000-0000-000035000000}" name="Vmax"/>
    <tableColumn id="54" xr3:uid="{00000000-0010-0000-0000-000036000000}" name="Temps sur 10m"/>
    <tableColumn id="55" xr3:uid="{00000000-0010-0000-0000-000037000000}" name="Q G conc 60°/s"/>
    <tableColumn id="56" xr3:uid="{00000000-0010-0000-0000-000038000000}" name="Q G conc 60°/s (N/kg)"/>
    <tableColumn id="57" xr3:uid="{00000000-0010-0000-0000-000039000000}" name="Q Dt conc 60°/s"/>
    <tableColumn id="58" xr3:uid="{00000000-0010-0000-0000-00003A000000}" name="Q Dt conc 60°/s (N/kg)"/>
    <tableColumn id="59" xr3:uid="{00000000-0010-0000-0000-00003B000000}" name="Q G conc 240°/s"/>
    <tableColumn id="60" xr3:uid="{00000000-0010-0000-0000-00003C000000}" name="Q G conc 240°/s (N/kg)"/>
    <tableColumn id="61" xr3:uid="{00000000-0010-0000-0000-00003D000000}" name="Q Dt conc 240°/s"/>
    <tableColumn id="62" xr3:uid="{00000000-0010-0000-0000-00003E000000}" name="Q Dt conc 240°/s (N/kg)"/>
    <tableColumn id="63" xr3:uid="{00000000-0010-0000-0000-00003F000000}" name="IJ G conc 60°/s"/>
    <tableColumn id="64" xr3:uid="{00000000-0010-0000-0000-000040000000}" name="IJ G conc 60°/s (N/kg)"/>
    <tableColumn id="65" xr3:uid="{00000000-0010-0000-0000-000041000000}" name="IJ Dt conc 60°/s"/>
    <tableColumn id="66" xr3:uid="{00000000-0010-0000-0000-000042000000}" name="IJ Dt conc 60°/s (N/kg)"/>
    <tableColumn id="67" xr3:uid="{00000000-0010-0000-0000-000043000000}" name="IJ G conc 240°/s"/>
    <tableColumn id="68" xr3:uid="{00000000-0010-0000-0000-000044000000}" name="IJ G conc 240°/s (N/kg)"/>
    <tableColumn id="69" xr3:uid="{00000000-0010-0000-0000-000045000000}" name="IJ Dt conc 240°/s"/>
    <tableColumn id="70" xr3:uid="{00000000-0010-0000-0000-000046000000}" name="IJ Dt conc 240°/s (N/kg)"/>
    <tableColumn id="71" xr3:uid="{00000000-0010-0000-0000-000047000000}" name="IJ G Exc 30°/s"/>
    <tableColumn id="72" xr3:uid="{00000000-0010-0000-0000-000048000000}" name="IJ G Exc 30°/s (N/kg)"/>
    <tableColumn id="73" xr3:uid="{00000000-0010-0000-0000-000049000000}" name="IJ Dt exc 30°/s"/>
    <tableColumn id="74" xr3:uid="{00000000-0010-0000-0000-00004A000000}" name="IJ Dt exc 30°/s (N/kg)"/>
    <tableColumn id="75" xr3:uid="{00000000-0010-0000-0000-00004B000000}" name="Ratio Mixte G"/>
    <tableColumn id="76" xr3:uid="{00000000-0010-0000-0000-00004C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1003"/>
  <sheetViews>
    <sheetView tabSelected="1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L1" sqref="L1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5.90625" customWidth="1"/>
    <col min="9" max="9" width="14.26953125" customWidth="1"/>
    <col min="10" max="10" width="10.6328125" customWidth="1"/>
    <col min="11" max="11" width="13.90625" customWidth="1"/>
    <col min="12" max="12" width="13.08984375" bestFit="1" customWidth="1"/>
    <col min="13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8" width="15.08984375" customWidth="1"/>
    <col min="49" max="49" width="13.90625" customWidth="1"/>
    <col min="50" max="50" width="25.453125" customWidth="1"/>
    <col min="51" max="53" width="10.6328125" customWidth="1"/>
    <col min="54" max="54" width="15" customWidth="1"/>
    <col min="55" max="55" width="14.90625" customWidth="1"/>
    <col min="56" max="56" width="20.08984375" customWidth="1"/>
    <col min="57" max="57" width="15.453125" customWidth="1"/>
    <col min="58" max="58" width="20.90625" customWidth="1"/>
    <col min="59" max="59" width="15.90625" customWidth="1"/>
    <col min="60" max="60" width="21.08984375" customWidth="1"/>
    <col min="61" max="61" width="16.453125" customWidth="1"/>
    <col min="62" max="62" width="21.90625" customWidth="1"/>
    <col min="63" max="63" width="14.453125" customWidth="1"/>
    <col min="64" max="64" width="19.90625" customWidth="1"/>
    <col min="65" max="65" width="15.08984375" customWidth="1"/>
    <col min="66" max="66" width="20.453125" customWidth="1"/>
    <col min="67" max="67" width="15.453125" customWidth="1"/>
    <col min="68" max="68" width="20.90625" customWidth="1"/>
    <col min="69" max="69" width="16.08984375" customWidth="1"/>
    <col min="70" max="70" width="21.453125" customWidth="1"/>
    <col min="71" max="71" width="13.453125" customWidth="1"/>
    <col min="72" max="72" width="18.7265625" customWidth="1"/>
    <col min="73" max="73" width="14" customWidth="1"/>
    <col min="74" max="74" width="19.453125" customWidth="1"/>
    <col min="75" max="76" width="13.453125" customWidth="1"/>
  </cols>
  <sheetData>
    <row r="1" spans="1:76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164</v>
      </c>
      <c r="M1" s="2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2" t="s">
        <v>24</v>
      </c>
      <c r="AA1" s="3" t="s">
        <v>25</v>
      </c>
      <c r="AB1" s="1" t="s">
        <v>26</v>
      </c>
      <c r="AC1" s="1" t="s">
        <v>27</v>
      </c>
      <c r="AD1" s="2" t="s">
        <v>28</v>
      </c>
      <c r="AE1" s="2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3" t="s">
        <v>54</v>
      </c>
      <c r="BE1" s="3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</row>
    <row r="2" spans="1:76" ht="14.25" customHeight="1">
      <c r="A2" s="4" t="s">
        <v>75</v>
      </c>
      <c r="B2" s="5"/>
      <c r="C2" s="5" t="s">
        <v>76</v>
      </c>
      <c r="D2" s="5" t="s">
        <v>77</v>
      </c>
      <c r="E2" s="5" t="s">
        <v>78</v>
      </c>
      <c r="F2" s="6">
        <v>35780</v>
      </c>
      <c r="G2" s="2" t="s">
        <v>79</v>
      </c>
      <c r="H2" s="4">
        <v>28</v>
      </c>
      <c r="I2" s="2">
        <v>75.599999999999994</v>
      </c>
      <c r="J2" s="2">
        <v>173.2</v>
      </c>
      <c r="K2" s="1"/>
      <c r="L2" s="1"/>
      <c r="M2" s="7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12.9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2">
        <v>16.5</v>
      </c>
      <c r="AV2" s="1"/>
      <c r="AW2" s="1"/>
      <c r="AX2" s="1"/>
      <c r="AY2" s="1"/>
      <c r="AZ2" s="1"/>
      <c r="BA2" s="1"/>
      <c r="BB2" s="1"/>
      <c r="BC2" s="2">
        <v>211</v>
      </c>
      <c r="BD2" s="1">
        <f t="shared" ref="BD2:BD11" si="5">BC2/I2</f>
        <v>2.7910052910052912</v>
      </c>
      <c r="BE2" s="2">
        <v>228</v>
      </c>
      <c r="BF2" s="1">
        <f t="shared" ref="BF2:BF11" si="6">BE2/I2</f>
        <v>3.0158730158730163</v>
      </c>
      <c r="BG2" s="2">
        <v>183</v>
      </c>
      <c r="BH2" s="1">
        <f t="shared" ref="BH2:BH11" si="7">BG2/I2</f>
        <v>2.4206349206349209</v>
      </c>
      <c r="BI2" s="2">
        <v>156</v>
      </c>
      <c r="BJ2" s="1">
        <f t="shared" ref="BJ2:BJ11" si="8">BI2/I2</f>
        <v>2.0634920634920637</v>
      </c>
      <c r="BK2" s="2">
        <v>136</v>
      </c>
      <c r="BL2" s="1">
        <f t="shared" ref="BL2:BL11" si="9">BK2/I2</f>
        <v>1.7989417989417991</v>
      </c>
      <c r="BM2" s="2">
        <v>136</v>
      </c>
      <c r="BN2" s="1">
        <f t="shared" ref="BN2:BN11" si="10">BM2/I2</f>
        <v>1.7989417989417991</v>
      </c>
      <c r="BO2" s="2">
        <v>134</v>
      </c>
      <c r="BP2" s="1">
        <f t="shared" ref="BP2:BP11" si="11">BO2/I2</f>
        <v>1.7724867724867726</v>
      </c>
      <c r="BQ2" s="2">
        <v>117</v>
      </c>
      <c r="BR2" s="1">
        <f t="shared" ref="BR2:BR11" si="12">BQ2/I2</f>
        <v>1.5476190476190477</v>
      </c>
      <c r="BS2" s="2">
        <v>134</v>
      </c>
      <c r="BT2" s="1">
        <f t="shared" ref="BT2:BT11" si="13">BS2/I2</f>
        <v>1.7724867724867726</v>
      </c>
      <c r="BU2" s="2">
        <v>152</v>
      </c>
      <c r="BV2" s="1">
        <f t="shared" ref="BV2:BV7" si="14">BU2/I2</f>
        <v>2.0105820105820107</v>
      </c>
      <c r="BW2" s="1">
        <f t="shared" ref="BW2:BW11" si="15">BS2/BG2</f>
        <v>0.73224043715846998</v>
      </c>
      <c r="BX2" s="1">
        <f t="shared" ref="BX2:BX7" si="16">BU2/BI2</f>
        <v>0.97435897435897434</v>
      </c>
    </row>
    <row r="3" spans="1:76" ht="14.25" customHeight="1">
      <c r="A3" s="8" t="s">
        <v>80</v>
      </c>
      <c r="B3" s="8"/>
      <c r="C3" s="8" t="s">
        <v>81</v>
      </c>
      <c r="D3" s="8" t="s">
        <v>82</v>
      </c>
      <c r="E3" s="8" t="s">
        <v>83</v>
      </c>
      <c r="F3" s="9">
        <v>38135</v>
      </c>
      <c r="G3" s="2" t="s">
        <v>79</v>
      </c>
      <c r="H3" s="10">
        <v>22</v>
      </c>
      <c r="I3" s="1"/>
      <c r="J3" s="1"/>
      <c r="K3" s="1"/>
      <c r="L3" s="1"/>
      <c r="M3" s="7">
        <v>46199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f t="shared" si="0"/>
        <v>0</v>
      </c>
      <c r="Z3" s="1">
        <f t="shared" si="1"/>
        <v>0</v>
      </c>
      <c r="AA3" s="1" t="e">
        <f t="shared" si="2"/>
        <v>#DIV/0!</v>
      </c>
      <c r="AB3" s="1"/>
      <c r="AC3" s="1"/>
      <c r="AD3" s="1"/>
      <c r="AE3" s="1"/>
      <c r="AF3" s="1"/>
      <c r="AG3" s="1"/>
      <c r="AH3" s="1" t="e">
        <f t="shared" si="3"/>
        <v>#DIV/0!</v>
      </c>
      <c r="AI3" s="1"/>
      <c r="AJ3" s="1" t="e">
        <f t="shared" si="4"/>
        <v>#DIV/0!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e">
        <f t="shared" si="5"/>
        <v>#DIV/0!</v>
      </c>
      <c r="BE3" s="1"/>
      <c r="BF3" s="1" t="e">
        <f t="shared" si="6"/>
        <v>#DIV/0!</v>
      </c>
      <c r="BG3" s="1"/>
      <c r="BH3" s="1" t="e">
        <f t="shared" si="7"/>
        <v>#DIV/0!</v>
      </c>
      <c r="BI3" s="1"/>
      <c r="BJ3" s="1" t="e">
        <f t="shared" si="8"/>
        <v>#DIV/0!</v>
      </c>
      <c r="BK3" s="1"/>
      <c r="BL3" s="1" t="e">
        <f t="shared" si="9"/>
        <v>#DIV/0!</v>
      </c>
      <c r="BM3" s="1"/>
      <c r="BN3" s="1" t="e">
        <f t="shared" si="10"/>
        <v>#DIV/0!</v>
      </c>
      <c r="BO3" s="1"/>
      <c r="BP3" s="1" t="e">
        <f t="shared" si="11"/>
        <v>#DIV/0!</v>
      </c>
      <c r="BQ3" s="1"/>
      <c r="BR3" s="1" t="e">
        <f t="shared" si="12"/>
        <v>#DIV/0!</v>
      </c>
      <c r="BS3" s="1"/>
      <c r="BT3" s="1" t="e">
        <f t="shared" si="13"/>
        <v>#DIV/0!</v>
      </c>
      <c r="BU3" s="1"/>
      <c r="BV3" s="1" t="e">
        <f t="shared" si="14"/>
        <v>#DIV/0!</v>
      </c>
      <c r="BW3" s="1" t="e">
        <f t="shared" si="15"/>
        <v>#DIV/0!</v>
      </c>
      <c r="BX3" s="1" t="e">
        <f t="shared" si="16"/>
        <v>#DIV/0!</v>
      </c>
    </row>
    <row r="4" spans="1:76" ht="14.25" customHeight="1">
      <c r="A4" s="5" t="s">
        <v>84</v>
      </c>
      <c r="B4" s="5"/>
      <c r="C4" s="5" t="s">
        <v>81</v>
      </c>
      <c r="D4" s="5" t="s">
        <v>82</v>
      </c>
      <c r="E4" s="5" t="s">
        <v>85</v>
      </c>
      <c r="F4" s="11">
        <v>37263</v>
      </c>
      <c r="G4" s="2" t="s">
        <v>79</v>
      </c>
      <c r="H4" s="4">
        <v>24</v>
      </c>
      <c r="I4" s="1"/>
      <c r="J4" s="1"/>
      <c r="K4" s="1"/>
      <c r="L4" s="1"/>
      <c r="M4" s="7">
        <v>46199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>
        <f t="shared" si="0"/>
        <v>0</v>
      </c>
      <c r="Z4" s="1">
        <f t="shared" si="1"/>
        <v>0</v>
      </c>
      <c r="AA4" s="1" t="e">
        <f t="shared" si="2"/>
        <v>#DIV/0!</v>
      </c>
      <c r="AB4" s="1"/>
      <c r="AC4" s="1"/>
      <c r="AD4" s="1"/>
      <c r="AE4" s="1"/>
      <c r="AF4" s="1"/>
      <c r="AG4" s="1"/>
      <c r="AH4" s="1" t="e">
        <f t="shared" si="3"/>
        <v>#DIV/0!</v>
      </c>
      <c r="AI4" s="1"/>
      <c r="AJ4" s="1" t="e">
        <f t="shared" si="4"/>
        <v>#DIV/0!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 t="e">
        <f t="shared" si="5"/>
        <v>#DIV/0!</v>
      </c>
      <c r="BE4" s="1"/>
      <c r="BF4" s="1" t="e">
        <f t="shared" si="6"/>
        <v>#DIV/0!</v>
      </c>
      <c r="BG4" s="1"/>
      <c r="BH4" s="1" t="e">
        <f t="shared" si="7"/>
        <v>#DIV/0!</v>
      </c>
      <c r="BI4" s="1"/>
      <c r="BJ4" s="1" t="e">
        <f t="shared" si="8"/>
        <v>#DIV/0!</v>
      </c>
      <c r="BK4" s="1"/>
      <c r="BL4" s="1" t="e">
        <f t="shared" si="9"/>
        <v>#DIV/0!</v>
      </c>
      <c r="BM4" s="1"/>
      <c r="BN4" s="1" t="e">
        <f t="shared" si="10"/>
        <v>#DIV/0!</v>
      </c>
      <c r="BO4" s="1"/>
      <c r="BP4" s="1" t="e">
        <f t="shared" si="11"/>
        <v>#DIV/0!</v>
      </c>
      <c r="BQ4" s="1"/>
      <c r="BR4" s="1" t="e">
        <f t="shared" si="12"/>
        <v>#DIV/0!</v>
      </c>
      <c r="BS4" s="1"/>
      <c r="BT4" s="1" t="e">
        <f t="shared" si="13"/>
        <v>#DIV/0!</v>
      </c>
      <c r="BU4" s="1"/>
      <c r="BV4" s="1" t="e">
        <f t="shared" si="14"/>
        <v>#DIV/0!</v>
      </c>
      <c r="BW4" s="1" t="e">
        <f t="shared" si="15"/>
        <v>#DIV/0!</v>
      </c>
      <c r="BX4" s="1" t="e">
        <f t="shared" si="16"/>
        <v>#DIV/0!</v>
      </c>
    </row>
    <row r="5" spans="1:76" ht="14.25" customHeight="1">
      <c r="A5" s="10" t="s">
        <v>86</v>
      </c>
      <c r="B5" s="8"/>
      <c r="C5" s="8" t="s">
        <v>76</v>
      </c>
      <c r="D5" s="8" t="s">
        <v>77</v>
      </c>
      <c r="E5" s="8" t="s">
        <v>78</v>
      </c>
      <c r="F5" s="9">
        <v>39213</v>
      </c>
      <c r="G5" s="2" t="s">
        <v>79</v>
      </c>
      <c r="H5" s="10">
        <v>19</v>
      </c>
      <c r="I5" s="2">
        <v>71.599999999999994</v>
      </c>
      <c r="J5" s="2">
        <v>179.6</v>
      </c>
      <c r="K5" s="1"/>
      <c r="L5" s="1"/>
      <c r="M5" s="7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2">
        <v>14.1</v>
      </c>
      <c r="AS5" s="12">
        <v>16.3</v>
      </c>
      <c r="AT5" s="1"/>
      <c r="AU5" s="2">
        <v>16.5</v>
      </c>
      <c r="AV5" s="1"/>
      <c r="AW5" s="1"/>
      <c r="AX5" s="1"/>
      <c r="AY5" s="1"/>
      <c r="AZ5" s="1"/>
      <c r="BA5" s="1"/>
      <c r="BB5" s="1"/>
      <c r="BC5" s="2">
        <v>183</v>
      </c>
      <c r="BD5" s="1">
        <f t="shared" si="5"/>
        <v>2.5558659217877095</v>
      </c>
      <c r="BE5" s="2">
        <v>252</v>
      </c>
      <c r="BF5" s="1">
        <f t="shared" si="6"/>
        <v>3.5195530726256985</v>
      </c>
      <c r="BG5" s="2">
        <v>166</v>
      </c>
      <c r="BH5" s="1">
        <f t="shared" si="7"/>
        <v>2.3184357541899443</v>
      </c>
      <c r="BI5" s="2">
        <v>167</v>
      </c>
      <c r="BJ5" s="1">
        <f t="shared" si="8"/>
        <v>2.3324022346368718</v>
      </c>
      <c r="BK5" s="2">
        <v>153</v>
      </c>
      <c r="BL5" s="1">
        <f t="shared" si="9"/>
        <v>2.1368715083798886</v>
      </c>
      <c r="BM5" s="2">
        <v>146</v>
      </c>
      <c r="BN5" s="1">
        <f t="shared" si="10"/>
        <v>2.039106145251397</v>
      </c>
      <c r="BO5" s="2">
        <v>131</v>
      </c>
      <c r="BP5" s="1">
        <f t="shared" si="11"/>
        <v>1.8296089385474861</v>
      </c>
      <c r="BQ5" s="2">
        <v>134</v>
      </c>
      <c r="BR5" s="1">
        <f t="shared" si="12"/>
        <v>1.8715083798882683</v>
      </c>
      <c r="BS5" s="2">
        <v>175</v>
      </c>
      <c r="BT5" s="1">
        <f t="shared" si="13"/>
        <v>2.4441340782122909</v>
      </c>
      <c r="BU5" s="2">
        <v>216</v>
      </c>
      <c r="BV5" s="1">
        <f t="shared" si="14"/>
        <v>3.016759776536313</v>
      </c>
      <c r="BW5" s="1">
        <f t="shared" si="15"/>
        <v>1.0542168674698795</v>
      </c>
      <c r="BX5" s="1">
        <f t="shared" si="16"/>
        <v>1.2934131736526946</v>
      </c>
    </row>
    <row r="6" spans="1:76" ht="14.25" customHeight="1">
      <c r="A6" s="5" t="s">
        <v>87</v>
      </c>
      <c r="B6" s="5"/>
      <c r="C6" s="5" t="s">
        <v>81</v>
      </c>
      <c r="D6" s="5" t="s">
        <v>82</v>
      </c>
      <c r="E6" s="5" t="s">
        <v>83</v>
      </c>
      <c r="F6" s="6">
        <v>37975</v>
      </c>
      <c r="G6" s="2" t="s">
        <v>79</v>
      </c>
      <c r="H6" s="4">
        <v>22</v>
      </c>
      <c r="I6" s="1"/>
      <c r="J6" s="1"/>
      <c r="K6" s="1"/>
      <c r="L6" s="1"/>
      <c r="M6" s="7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 t="e">
        <f t="shared" si="5"/>
        <v>#DIV/0!</v>
      </c>
      <c r="BE6" s="1"/>
      <c r="BF6" s="1" t="e">
        <f t="shared" si="6"/>
        <v>#DIV/0!</v>
      </c>
      <c r="BG6" s="1"/>
      <c r="BH6" s="1" t="e">
        <f t="shared" si="7"/>
        <v>#DIV/0!</v>
      </c>
      <c r="BI6" s="1"/>
      <c r="BJ6" s="1" t="e">
        <f t="shared" si="8"/>
        <v>#DIV/0!</v>
      </c>
      <c r="BK6" s="1"/>
      <c r="BL6" s="1" t="e">
        <f t="shared" si="9"/>
        <v>#DIV/0!</v>
      </c>
      <c r="BM6" s="1"/>
      <c r="BN6" s="1" t="e">
        <f t="shared" si="10"/>
        <v>#DIV/0!</v>
      </c>
      <c r="BO6" s="1"/>
      <c r="BP6" s="1" t="e">
        <f t="shared" si="11"/>
        <v>#DIV/0!</v>
      </c>
      <c r="BQ6" s="1"/>
      <c r="BR6" s="1" t="e">
        <f t="shared" si="12"/>
        <v>#DIV/0!</v>
      </c>
      <c r="BS6" s="1"/>
      <c r="BT6" s="1" t="e">
        <f t="shared" si="13"/>
        <v>#DIV/0!</v>
      </c>
      <c r="BU6" s="1"/>
      <c r="BV6" s="1" t="e">
        <f t="shared" si="14"/>
        <v>#DIV/0!</v>
      </c>
      <c r="BW6" s="1" t="e">
        <f t="shared" si="15"/>
        <v>#DIV/0!</v>
      </c>
      <c r="BX6" s="1" t="e">
        <f t="shared" si="16"/>
        <v>#DIV/0!</v>
      </c>
    </row>
    <row r="7" spans="1:76" ht="14.25" customHeight="1">
      <c r="A7" s="10" t="s">
        <v>88</v>
      </c>
      <c r="B7" s="8"/>
      <c r="C7" s="8" t="s">
        <v>76</v>
      </c>
      <c r="D7" s="8" t="s">
        <v>82</v>
      </c>
      <c r="E7" s="8" t="s">
        <v>85</v>
      </c>
      <c r="F7" s="9">
        <v>39689</v>
      </c>
      <c r="G7" s="2" t="s">
        <v>79</v>
      </c>
      <c r="H7" s="10">
        <v>17</v>
      </c>
      <c r="I7" s="2">
        <v>70.8</v>
      </c>
      <c r="J7" s="2">
        <v>183</v>
      </c>
      <c r="K7" s="1"/>
      <c r="L7" s="1"/>
      <c r="M7" s="7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89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2">
        <v>237</v>
      </c>
      <c r="BD7" s="1">
        <f t="shared" si="5"/>
        <v>3.347457627118644</v>
      </c>
      <c r="BE7" s="2">
        <v>259</v>
      </c>
      <c r="BF7" s="1">
        <f t="shared" si="6"/>
        <v>3.6581920903954805</v>
      </c>
      <c r="BG7" s="2">
        <v>200</v>
      </c>
      <c r="BH7" s="1">
        <f t="shared" si="7"/>
        <v>2.8248587570621471</v>
      </c>
      <c r="BI7" s="2">
        <v>214</v>
      </c>
      <c r="BJ7" s="1">
        <f t="shared" si="8"/>
        <v>3.0225988700564974</v>
      </c>
      <c r="BK7" s="2">
        <v>139</v>
      </c>
      <c r="BL7" s="1">
        <f t="shared" si="9"/>
        <v>1.9632768361581923</v>
      </c>
      <c r="BM7" s="2">
        <v>126</v>
      </c>
      <c r="BN7" s="1">
        <f t="shared" si="10"/>
        <v>1.7796610169491527</v>
      </c>
      <c r="BO7" s="2">
        <v>122</v>
      </c>
      <c r="BP7" s="1">
        <f t="shared" si="11"/>
        <v>1.7231638418079096</v>
      </c>
      <c r="BQ7" s="2">
        <v>108</v>
      </c>
      <c r="BR7" s="1">
        <f t="shared" si="12"/>
        <v>1.5254237288135595</v>
      </c>
      <c r="BS7" s="2">
        <v>194</v>
      </c>
      <c r="BT7" s="1">
        <f t="shared" si="13"/>
        <v>2.7401129943502824</v>
      </c>
      <c r="BU7" s="2">
        <v>159</v>
      </c>
      <c r="BV7" s="1">
        <f t="shared" si="14"/>
        <v>2.245762711864407</v>
      </c>
      <c r="BW7" s="1">
        <f t="shared" si="15"/>
        <v>0.97</v>
      </c>
      <c r="BX7" s="1">
        <f t="shared" si="16"/>
        <v>0.7429906542056075</v>
      </c>
    </row>
    <row r="8" spans="1:76" ht="14.25" customHeight="1">
      <c r="A8" s="5" t="s">
        <v>90</v>
      </c>
      <c r="B8" s="5"/>
      <c r="C8" s="5" t="s">
        <v>81</v>
      </c>
      <c r="D8" s="5" t="s">
        <v>82</v>
      </c>
      <c r="E8" s="5" t="s">
        <v>83</v>
      </c>
      <c r="F8" s="11">
        <v>36494</v>
      </c>
      <c r="G8" s="2" t="s">
        <v>79</v>
      </c>
      <c r="H8" s="4">
        <v>26</v>
      </c>
      <c r="I8" s="2">
        <v>81</v>
      </c>
      <c r="J8" s="2">
        <v>180.7</v>
      </c>
      <c r="K8" s="2"/>
      <c r="L8" s="2"/>
      <c r="M8" s="7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2">
        <v>16.5</v>
      </c>
      <c r="AV8" s="1"/>
      <c r="AW8" s="1"/>
      <c r="AX8" s="1"/>
      <c r="AY8" s="1"/>
      <c r="AZ8" s="1"/>
      <c r="BA8" s="1"/>
      <c r="BB8" s="1"/>
      <c r="BC8" s="2">
        <v>311</v>
      </c>
      <c r="BD8" s="1">
        <f t="shared" si="5"/>
        <v>3.8395061728395063</v>
      </c>
      <c r="BE8" s="2">
        <v>292</v>
      </c>
      <c r="BF8" s="1">
        <f t="shared" si="6"/>
        <v>3.6049382716049383</v>
      </c>
      <c r="BG8" s="2">
        <v>209</v>
      </c>
      <c r="BH8" s="1">
        <f t="shared" si="7"/>
        <v>2.5802469135802468</v>
      </c>
      <c r="BI8" s="2">
        <v>210</v>
      </c>
      <c r="BJ8" s="1">
        <f t="shared" si="8"/>
        <v>2.5925925925925926</v>
      </c>
      <c r="BK8" s="2">
        <v>173</v>
      </c>
      <c r="BL8" s="1">
        <f t="shared" si="9"/>
        <v>2.1358024691358026</v>
      </c>
      <c r="BM8" s="2">
        <v>194</v>
      </c>
      <c r="BN8" s="1">
        <f t="shared" si="10"/>
        <v>2.3950617283950617</v>
      </c>
      <c r="BO8" s="2">
        <v>142</v>
      </c>
      <c r="BP8" s="1">
        <f t="shared" si="11"/>
        <v>1.7530864197530864</v>
      </c>
      <c r="BQ8" s="2">
        <v>149</v>
      </c>
      <c r="BR8" s="1">
        <f t="shared" si="12"/>
        <v>1.8395061728395061</v>
      </c>
      <c r="BS8" s="2">
        <v>278</v>
      </c>
      <c r="BT8" s="1">
        <f t="shared" si="13"/>
        <v>3.4320987654320989</v>
      </c>
      <c r="BU8" s="2">
        <v>266</v>
      </c>
      <c r="BV8" s="1" t="e">
        <f>#REF!/I8</f>
        <v>#REF!</v>
      </c>
      <c r="BW8" s="1">
        <f t="shared" si="15"/>
        <v>1.3301435406698565</v>
      </c>
      <c r="BX8" s="1" t="e">
        <f>#REF!/BI8</f>
        <v>#REF!</v>
      </c>
    </row>
    <row r="9" spans="1:76" ht="14.25" customHeight="1">
      <c r="A9" s="10" t="s">
        <v>91</v>
      </c>
      <c r="B9" s="8"/>
      <c r="C9" s="8" t="s">
        <v>81</v>
      </c>
      <c r="D9" s="8" t="s">
        <v>92</v>
      </c>
      <c r="E9" s="8" t="s">
        <v>93</v>
      </c>
      <c r="F9" s="9">
        <v>38150</v>
      </c>
      <c r="G9" s="2" t="s">
        <v>79</v>
      </c>
      <c r="H9" s="10">
        <v>22</v>
      </c>
      <c r="I9" s="2">
        <v>72.2</v>
      </c>
      <c r="J9" s="2">
        <v>180.4</v>
      </c>
      <c r="K9" s="1"/>
      <c r="L9" s="1"/>
      <c r="M9" s="7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2">
        <v>12.6</v>
      </c>
      <c r="AS9" s="12">
        <v>15.5</v>
      </c>
      <c r="AT9" s="1"/>
      <c r="AU9" s="2">
        <v>16</v>
      </c>
      <c r="AV9" s="1"/>
      <c r="AW9" s="1"/>
      <c r="AX9" s="1"/>
      <c r="AY9" s="1"/>
      <c r="AZ9" s="1"/>
      <c r="BA9" s="1"/>
      <c r="BB9" s="1"/>
      <c r="BC9" s="2">
        <v>272</v>
      </c>
      <c r="BD9" s="1">
        <f t="shared" si="5"/>
        <v>3.7673130193905817</v>
      </c>
      <c r="BE9" s="2">
        <v>263</v>
      </c>
      <c r="BF9" s="1">
        <f t="shared" si="6"/>
        <v>3.642659279778393</v>
      </c>
      <c r="BG9" s="2">
        <v>196</v>
      </c>
      <c r="BH9" s="1">
        <f t="shared" si="7"/>
        <v>2.7146814404432131</v>
      </c>
      <c r="BI9" s="2">
        <v>193</v>
      </c>
      <c r="BJ9" s="1">
        <f t="shared" si="8"/>
        <v>2.6731301939058172</v>
      </c>
      <c r="BK9" s="2">
        <v>159</v>
      </c>
      <c r="BL9" s="1">
        <f t="shared" si="9"/>
        <v>2.2022160664819945</v>
      </c>
      <c r="BM9" s="2">
        <v>147</v>
      </c>
      <c r="BN9" s="1">
        <f t="shared" si="10"/>
        <v>2.0360110803324099</v>
      </c>
      <c r="BO9" s="2">
        <v>140</v>
      </c>
      <c r="BP9" s="1">
        <f t="shared" si="11"/>
        <v>1.9390581717451523</v>
      </c>
      <c r="BQ9" s="2">
        <v>135</v>
      </c>
      <c r="BR9" s="1">
        <f t="shared" si="12"/>
        <v>1.8698060941828254</v>
      </c>
      <c r="BS9" s="2">
        <v>173</v>
      </c>
      <c r="BT9" s="1">
        <f t="shared" si="13"/>
        <v>2.3961218836565097</v>
      </c>
      <c r="BU9" s="13">
        <v>171</v>
      </c>
      <c r="BV9" s="1">
        <f>BU8/I9</f>
        <v>3.6842105263157894</v>
      </c>
      <c r="BW9" s="1">
        <f t="shared" si="15"/>
        <v>0.88265306122448983</v>
      </c>
      <c r="BX9" s="1">
        <f>BU8/BI9</f>
        <v>1.3782383419689119</v>
      </c>
    </row>
    <row r="10" spans="1:76" ht="14.25" customHeight="1">
      <c r="A10" s="4" t="s">
        <v>94</v>
      </c>
      <c r="B10" s="5"/>
      <c r="C10" s="5" t="s">
        <v>81</v>
      </c>
      <c r="D10" s="5" t="s">
        <v>82</v>
      </c>
      <c r="E10" s="5" t="s">
        <v>85</v>
      </c>
      <c r="F10" s="11">
        <v>39832</v>
      </c>
      <c r="G10" s="2" t="s">
        <v>79</v>
      </c>
      <c r="H10" s="5">
        <v>17</v>
      </c>
      <c r="I10" s="2">
        <v>63.7</v>
      </c>
      <c r="J10" s="2">
        <v>167</v>
      </c>
      <c r="K10" s="1"/>
      <c r="L10" s="1"/>
      <c r="M10" s="7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2">
        <v>16.5</v>
      </c>
      <c r="AV10" s="1"/>
      <c r="AW10" s="1"/>
      <c r="AX10" s="1"/>
      <c r="AY10" s="1"/>
      <c r="AZ10" s="1"/>
      <c r="BA10" s="1"/>
      <c r="BB10" s="1"/>
      <c r="BC10" s="2">
        <v>208</v>
      </c>
      <c r="BD10" s="1">
        <f t="shared" si="5"/>
        <v>3.2653061224489797</v>
      </c>
      <c r="BE10" s="2">
        <v>216.9</v>
      </c>
      <c r="BF10" s="1">
        <f t="shared" si="6"/>
        <v>3.4050235478806905</v>
      </c>
      <c r="BG10" s="2">
        <v>138.6</v>
      </c>
      <c r="BH10" s="1">
        <f t="shared" si="7"/>
        <v>2.1758241758241756</v>
      </c>
      <c r="BI10" s="2">
        <v>140.19999999999999</v>
      </c>
      <c r="BJ10" s="1">
        <f t="shared" si="8"/>
        <v>2.2009419152276291</v>
      </c>
      <c r="BK10" s="2">
        <v>118</v>
      </c>
      <c r="BL10" s="1">
        <f t="shared" si="9"/>
        <v>1.8524332810047095</v>
      </c>
      <c r="BM10" s="2">
        <v>131.80000000000001</v>
      </c>
      <c r="BN10" s="1">
        <f t="shared" si="10"/>
        <v>2.0690737833594977</v>
      </c>
      <c r="BO10" s="2">
        <v>128.69999999999999</v>
      </c>
      <c r="BP10" s="1">
        <f t="shared" si="11"/>
        <v>2.0204081632653059</v>
      </c>
      <c r="BQ10" s="2">
        <v>97.2</v>
      </c>
      <c r="BR10" s="1">
        <f t="shared" si="12"/>
        <v>1.5259026687598116</v>
      </c>
      <c r="BS10" s="2">
        <v>145.5</v>
      </c>
      <c r="BT10" s="1">
        <f t="shared" si="13"/>
        <v>2.2841444270015696</v>
      </c>
      <c r="BU10" s="2">
        <v>161.69999999999999</v>
      </c>
      <c r="BV10" s="1">
        <f t="shared" ref="BV10:BV11" si="17">BU10/I10</f>
        <v>2.5384615384615383</v>
      </c>
      <c r="BW10" s="1">
        <f t="shared" si="15"/>
        <v>1.0497835497835499</v>
      </c>
      <c r="BX10" s="1">
        <f t="shared" ref="BX10:BX11" si="18">BU10/BI10</f>
        <v>1.1533523537803139</v>
      </c>
    </row>
    <row r="11" spans="1:76" ht="14.25" customHeight="1">
      <c r="A11" s="10" t="s">
        <v>95</v>
      </c>
      <c r="B11" s="8"/>
      <c r="C11" s="8" t="s">
        <v>81</v>
      </c>
      <c r="D11" s="8" t="s">
        <v>92</v>
      </c>
      <c r="E11" s="8" t="s">
        <v>96</v>
      </c>
      <c r="F11" s="14">
        <v>36885</v>
      </c>
      <c r="G11" s="2" t="s">
        <v>79</v>
      </c>
      <c r="H11" s="10">
        <v>25</v>
      </c>
      <c r="I11" s="2">
        <v>86.1</v>
      </c>
      <c r="J11" s="2">
        <v>186.6</v>
      </c>
      <c r="K11" s="1"/>
      <c r="L11" s="1"/>
      <c r="M11" s="7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1"/>
      <c r="AW11" s="1"/>
      <c r="AX11" s="1"/>
      <c r="AY11" s="1"/>
      <c r="AZ11" s="1"/>
      <c r="BA11" s="1"/>
      <c r="BB11" s="1"/>
      <c r="BC11" s="2">
        <v>200</v>
      </c>
      <c r="BD11" s="1">
        <f t="shared" si="5"/>
        <v>2.3228803716608595</v>
      </c>
      <c r="BE11" s="2">
        <v>264</v>
      </c>
      <c r="BF11" s="1">
        <f t="shared" si="6"/>
        <v>3.0662020905923346</v>
      </c>
      <c r="BG11" s="2">
        <v>175</v>
      </c>
      <c r="BH11" s="1">
        <f t="shared" si="7"/>
        <v>2.0325203252032522</v>
      </c>
      <c r="BI11" s="2">
        <v>213</v>
      </c>
      <c r="BJ11" s="1">
        <f t="shared" si="8"/>
        <v>2.4738675958188154</v>
      </c>
      <c r="BK11" s="2">
        <v>136</v>
      </c>
      <c r="BL11" s="1">
        <f t="shared" si="9"/>
        <v>1.5795586527293846</v>
      </c>
      <c r="BM11" s="2">
        <v>148</v>
      </c>
      <c r="BN11" s="1">
        <f t="shared" si="10"/>
        <v>1.7189314750290361</v>
      </c>
      <c r="BO11" s="2">
        <v>117</v>
      </c>
      <c r="BP11" s="1">
        <f t="shared" si="11"/>
        <v>1.3588850174216029</v>
      </c>
      <c r="BQ11" s="2">
        <v>165</v>
      </c>
      <c r="BR11" s="1">
        <f t="shared" si="12"/>
        <v>1.9163763066202091</v>
      </c>
      <c r="BS11" s="2">
        <v>215</v>
      </c>
      <c r="BT11" s="1">
        <f t="shared" si="13"/>
        <v>2.4970963995354243</v>
      </c>
      <c r="BU11" s="2">
        <v>209</v>
      </c>
      <c r="BV11" s="1">
        <f t="shared" si="17"/>
        <v>2.4274099883855982</v>
      </c>
      <c r="BW11" s="1">
        <f t="shared" si="15"/>
        <v>1.2285714285714286</v>
      </c>
      <c r="BX11" s="1">
        <f t="shared" si="18"/>
        <v>0.98122065727699526</v>
      </c>
    </row>
    <row r="12" spans="1:76" ht="14.25" customHeight="1">
      <c r="A12" s="8" t="s">
        <v>97</v>
      </c>
      <c r="B12" s="8"/>
      <c r="C12" s="8" t="s">
        <v>76</v>
      </c>
      <c r="D12" s="8" t="s">
        <v>77</v>
      </c>
      <c r="E12" s="8" t="s">
        <v>78</v>
      </c>
      <c r="F12" s="14">
        <v>37543</v>
      </c>
      <c r="G12" s="2" t="s">
        <v>79</v>
      </c>
      <c r="H12" s="8">
        <v>23</v>
      </c>
      <c r="I12" s="2"/>
      <c r="J12" s="2"/>
      <c r="K12" s="1"/>
      <c r="L12" s="1"/>
      <c r="M12" s="7">
        <v>46199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1"/>
      <c r="Z12" s="1"/>
      <c r="AA12" s="1"/>
      <c r="AB12" s="2"/>
      <c r="AC12" s="2"/>
      <c r="AD12" s="2"/>
      <c r="AE12" s="2"/>
      <c r="AF12" s="2"/>
      <c r="AG12" s="1"/>
      <c r="AH12" s="1"/>
      <c r="AI12" s="1"/>
      <c r="AJ12" s="1"/>
      <c r="AK12" s="1"/>
      <c r="AL12" s="1"/>
      <c r="AM12" s="2"/>
      <c r="AN12" s="2"/>
      <c r="AO12" s="2"/>
      <c r="AP12" s="2"/>
      <c r="AQ12" s="1"/>
      <c r="AR12" s="2"/>
      <c r="AS12" s="2"/>
      <c r="AT12" s="1"/>
      <c r="AU12" s="1"/>
      <c r="AV12" s="1"/>
      <c r="AW12" s="1"/>
      <c r="AX12" s="1"/>
      <c r="AY12" s="1"/>
      <c r="AZ12" s="1"/>
      <c r="BA12" s="1"/>
      <c r="BB12" s="1"/>
      <c r="BC12" s="2"/>
      <c r="BD12" s="1"/>
      <c r="BE12" s="2"/>
      <c r="BF12" s="1"/>
      <c r="BG12" s="2"/>
      <c r="BH12" s="1"/>
      <c r="BI12" s="2"/>
      <c r="BJ12" s="1"/>
      <c r="BK12" s="2"/>
      <c r="BL12" s="1"/>
      <c r="BM12" s="2"/>
      <c r="BN12" s="1"/>
      <c r="BO12" s="2"/>
      <c r="BP12" s="1"/>
      <c r="BQ12" s="2"/>
      <c r="BR12" s="1"/>
      <c r="BS12" s="2"/>
      <c r="BT12" s="1"/>
      <c r="BU12" s="2"/>
      <c r="BV12" s="1"/>
      <c r="BW12" s="1"/>
      <c r="BX12" s="1"/>
    </row>
    <row r="13" spans="1:76" ht="14.25" customHeight="1">
      <c r="A13" s="8" t="s">
        <v>98</v>
      </c>
      <c r="B13" s="8"/>
      <c r="C13" s="8" t="s">
        <v>81</v>
      </c>
      <c r="D13" s="8" t="s">
        <v>99</v>
      </c>
      <c r="E13" s="8" t="s">
        <v>100</v>
      </c>
      <c r="F13" s="14">
        <v>38088</v>
      </c>
      <c r="G13" s="2" t="s">
        <v>79</v>
      </c>
      <c r="H13" s="8">
        <v>22</v>
      </c>
      <c r="I13" s="2">
        <v>97.7</v>
      </c>
      <c r="J13" s="2">
        <v>2.0699999999999998</v>
      </c>
      <c r="K13" s="1"/>
      <c r="L13" s="1"/>
      <c r="M13" s="7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19">U13+V13</f>
        <v>62.1</v>
      </c>
      <c r="Z13" s="1">
        <f t="shared" ref="Z13:Z64" si="20">W13+X13</f>
        <v>55.2</v>
      </c>
      <c r="AA13" s="1">
        <f t="shared" ref="AA13:AA64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1"/>
      <c r="AV13" s="1"/>
      <c r="AW13" s="1"/>
      <c r="AX13" s="1"/>
      <c r="AY13" s="1"/>
      <c r="AZ13" s="1"/>
      <c r="BA13" s="1"/>
      <c r="BB13" s="1"/>
      <c r="BC13" s="2">
        <v>355</v>
      </c>
      <c r="BD13" s="1">
        <f t="shared" ref="BD13:BD59" si="22">BC13/I13</f>
        <v>3.6335721596724668</v>
      </c>
      <c r="BE13" s="2">
        <v>330</v>
      </c>
      <c r="BF13" s="1">
        <f t="shared" ref="BF13:BF63" si="23">BE13/I13</f>
        <v>3.3776867963152508</v>
      </c>
      <c r="BG13" s="2">
        <v>221</v>
      </c>
      <c r="BH13" s="1">
        <f t="shared" ref="BH13:BH63" si="24">BG13/I13</f>
        <v>2.262026612077789</v>
      </c>
      <c r="BI13" s="2">
        <v>215</v>
      </c>
      <c r="BJ13" s="1">
        <f t="shared" ref="BJ13:BJ63" si="25">BI13/I13</f>
        <v>2.2006141248720574</v>
      </c>
      <c r="BK13" s="2">
        <v>164</v>
      </c>
      <c r="BL13" s="1">
        <f t="shared" ref="BL13:BL63" si="26">BK13/I13</f>
        <v>1.6786079836233367</v>
      </c>
      <c r="BM13" s="2">
        <v>179</v>
      </c>
      <c r="BN13" s="1">
        <f t="shared" ref="BN13:BN61" si="27">BM13/I13</f>
        <v>1.8321392016376663</v>
      </c>
      <c r="BO13" s="2">
        <v>184</v>
      </c>
      <c r="BP13" s="1">
        <f t="shared" ref="BP13:BP63" si="28">BO13/I13</f>
        <v>1.8833162743091094</v>
      </c>
      <c r="BQ13" s="2">
        <v>196</v>
      </c>
      <c r="BR13" s="1">
        <f t="shared" ref="BR13:BR63" si="29">BQ13/I13</f>
        <v>2.006141248720573</v>
      </c>
      <c r="BS13" s="2">
        <v>238</v>
      </c>
      <c r="BT13" s="1">
        <f t="shared" ref="BT13:BT63" si="30">BS13/I13</f>
        <v>2.4360286591606961</v>
      </c>
      <c r="BU13" s="2">
        <v>199</v>
      </c>
      <c r="BV13" s="1">
        <f t="shared" ref="BV13:BV63" si="31">BU13/I13</f>
        <v>2.0368474923234392</v>
      </c>
      <c r="BW13" s="1">
        <f t="shared" ref="BW13:BW63" si="32">BS13/BG13</f>
        <v>1.0769230769230769</v>
      </c>
      <c r="BX13" s="1">
        <f t="shared" ref="BX13:BX63" si="33">BU13/BI13</f>
        <v>0.92558139534883721</v>
      </c>
    </row>
    <row r="14" spans="1:76" ht="14.25" customHeight="1">
      <c r="A14" s="5" t="s">
        <v>101</v>
      </c>
      <c r="B14" s="5"/>
      <c r="C14" s="5"/>
      <c r="D14" s="5" t="s">
        <v>82</v>
      </c>
      <c r="E14" s="5" t="s">
        <v>83</v>
      </c>
      <c r="F14" s="6">
        <v>38706</v>
      </c>
      <c r="G14" s="2" t="s">
        <v>79</v>
      </c>
      <c r="H14" s="4">
        <v>20</v>
      </c>
      <c r="I14" s="2">
        <v>85.3</v>
      </c>
      <c r="J14" s="1"/>
      <c r="K14" s="1"/>
      <c r="L14" s="1"/>
      <c r="M14" s="7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64" si="34">AG14/I14</f>
        <v>0</v>
      </c>
      <c r="AI14" s="1"/>
      <c r="AJ14" s="1">
        <f t="shared" ref="AJ14:AJ63" si="35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>
        <f t="shared" si="22"/>
        <v>0</v>
      </c>
      <c r="BE14" s="1"/>
      <c r="BF14" s="1">
        <f t="shared" si="23"/>
        <v>0</v>
      </c>
      <c r="BG14" s="1"/>
      <c r="BH14" s="1">
        <f t="shared" si="24"/>
        <v>0</v>
      </c>
      <c r="BI14" s="1"/>
      <c r="BJ14" s="1">
        <f t="shared" si="25"/>
        <v>0</v>
      </c>
      <c r="BK14" s="1"/>
      <c r="BL14" s="1">
        <f t="shared" si="26"/>
        <v>0</v>
      </c>
      <c r="BM14" s="1"/>
      <c r="BN14" s="1">
        <f t="shared" si="27"/>
        <v>0</v>
      </c>
      <c r="BO14" s="1"/>
      <c r="BP14" s="1">
        <f t="shared" si="28"/>
        <v>0</v>
      </c>
      <c r="BQ14" s="1"/>
      <c r="BR14" s="1">
        <f t="shared" si="29"/>
        <v>0</v>
      </c>
      <c r="BS14" s="1"/>
      <c r="BT14" s="1">
        <f t="shared" si="30"/>
        <v>0</v>
      </c>
      <c r="BU14" s="1"/>
      <c r="BV14" s="1">
        <f t="shared" si="31"/>
        <v>0</v>
      </c>
      <c r="BW14" s="1" t="e">
        <f t="shared" si="32"/>
        <v>#DIV/0!</v>
      </c>
      <c r="BX14" s="1" t="e">
        <f t="shared" si="33"/>
        <v>#DIV/0!</v>
      </c>
    </row>
    <row r="15" spans="1:76" ht="14.25" customHeight="1">
      <c r="A15" s="10" t="s">
        <v>102</v>
      </c>
      <c r="B15" s="8"/>
      <c r="C15" s="8" t="s">
        <v>76</v>
      </c>
      <c r="D15" s="8" t="s">
        <v>77</v>
      </c>
      <c r="E15" s="8" t="s">
        <v>103</v>
      </c>
      <c r="F15" s="9">
        <v>37867</v>
      </c>
      <c r="G15" s="2" t="s">
        <v>79</v>
      </c>
      <c r="H15" s="10">
        <v>22</v>
      </c>
      <c r="I15" s="2">
        <v>88</v>
      </c>
      <c r="J15" s="2">
        <v>189.2</v>
      </c>
      <c r="K15" s="1"/>
      <c r="L15" s="1"/>
      <c r="M15" s="7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34"/>
        <v>0</v>
      </c>
      <c r="AI15" s="1"/>
      <c r="AJ15" s="1">
        <f t="shared" si="35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1">
        <f t="shared" si="22"/>
        <v>0</v>
      </c>
      <c r="BE15" s="1"/>
      <c r="BF15" s="1">
        <f t="shared" si="23"/>
        <v>0</v>
      </c>
      <c r="BG15" s="1"/>
      <c r="BH15" s="1">
        <f t="shared" si="24"/>
        <v>0</v>
      </c>
      <c r="BI15" s="1"/>
      <c r="BJ15" s="1">
        <f t="shared" si="25"/>
        <v>0</v>
      </c>
      <c r="BK15" s="1"/>
      <c r="BL15" s="1">
        <f t="shared" si="26"/>
        <v>0</v>
      </c>
      <c r="BM15" s="1"/>
      <c r="BN15" s="1">
        <f t="shared" si="27"/>
        <v>0</v>
      </c>
      <c r="BO15" s="1"/>
      <c r="BP15" s="1">
        <f t="shared" si="28"/>
        <v>0</v>
      </c>
      <c r="BQ15" s="1"/>
      <c r="BR15" s="1">
        <f t="shared" si="29"/>
        <v>0</v>
      </c>
      <c r="BS15" s="1"/>
      <c r="BT15" s="1">
        <f t="shared" si="30"/>
        <v>0</v>
      </c>
      <c r="BU15" s="1"/>
      <c r="BV15" s="1">
        <f t="shared" si="31"/>
        <v>0</v>
      </c>
      <c r="BW15" s="1" t="e">
        <f t="shared" si="32"/>
        <v>#DIV/0!</v>
      </c>
      <c r="BX15" s="1" t="e">
        <f t="shared" si="33"/>
        <v>#DIV/0!</v>
      </c>
    </row>
    <row r="16" spans="1:76" ht="14.25" customHeight="1">
      <c r="A16" s="4" t="s">
        <v>104</v>
      </c>
      <c r="B16" s="5"/>
      <c r="C16" s="5" t="s">
        <v>76</v>
      </c>
      <c r="D16" s="5" t="s">
        <v>92</v>
      </c>
      <c r="E16" s="5" t="s">
        <v>105</v>
      </c>
      <c r="F16" s="11">
        <v>36637</v>
      </c>
      <c r="G16" s="2" t="s">
        <v>79</v>
      </c>
      <c r="H16" s="4">
        <v>26</v>
      </c>
      <c r="I16" s="2">
        <v>66.599999999999994</v>
      </c>
      <c r="J16" s="2">
        <v>173</v>
      </c>
      <c r="K16" s="1"/>
      <c r="L16" s="1"/>
      <c r="M16" s="7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34"/>
        <v>0</v>
      </c>
      <c r="AI16" s="1"/>
      <c r="AJ16" s="1">
        <f t="shared" si="35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1"/>
      <c r="AW16" s="1"/>
      <c r="AX16" s="1"/>
      <c r="AY16" s="1"/>
      <c r="AZ16" s="1"/>
      <c r="BA16" s="1"/>
      <c r="BB16" s="1"/>
      <c r="BC16" s="2">
        <v>187.8</v>
      </c>
      <c r="BD16" s="1">
        <f t="shared" si="22"/>
        <v>2.8198198198198203</v>
      </c>
      <c r="BE16" s="2">
        <v>197.7</v>
      </c>
      <c r="BF16" s="1">
        <f t="shared" si="23"/>
        <v>2.9684684684684686</v>
      </c>
      <c r="BG16" s="2">
        <v>132.69999999999999</v>
      </c>
      <c r="BH16" s="1">
        <f t="shared" si="24"/>
        <v>1.9924924924924925</v>
      </c>
      <c r="BI16" s="2">
        <v>131.30000000000001</v>
      </c>
      <c r="BJ16" s="1">
        <f t="shared" si="25"/>
        <v>1.9714714714714718</v>
      </c>
      <c r="BK16" s="2">
        <v>133</v>
      </c>
      <c r="BL16" s="1">
        <f t="shared" si="26"/>
        <v>1.9969969969969972</v>
      </c>
      <c r="BM16" s="2">
        <v>121.9</v>
      </c>
      <c r="BN16" s="1">
        <f t="shared" si="27"/>
        <v>1.8303303303303307</v>
      </c>
      <c r="BO16" s="2">
        <v>102.2</v>
      </c>
      <c r="BP16" s="1">
        <f t="shared" si="28"/>
        <v>1.5345345345345347</v>
      </c>
      <c r="BQ16" s="2">
        <v>91.1</v>
      </c>
      <c r="BR16" s="1">
        <f t="shared" si="29"/>
        <v>1.367867867867868</v>
      </c>
      <c r="BS16" s="2">
        <v>117.8</v>
      </c>
      <c r="BT16" s="1">
        <f t="shared" si="30"/>
        <v>1.768768768768769</v>
      </c>
      <c r="BU16" s="2">
        <v>86.1</v>
      </c>
      <c r="BV16" s="1">
        <f t="shared" si="31"/>
        <v>1.2927927927927929</v>
      </c>
      <c r="BW16" s="1">
        <f t="shared" si="32"/>
        <v>0.8877166541070084</v>
      </c>
      <c r="BX16" s="1">
        <f t="shared" si="33"/>
        <v>0.65575019040365568</v>
      </c>
    </row>
    <row r="17" spans="1:76" ht="14.25" customHeight="1">
      <c r="A17" s="8" t="s">
        <v>106</v>
      </c>
      <c r="B17" s="8"/>
      <c r="C17" s="8" t="s">
        <v>81</v>
      </c>
      <c r="D17" s="8" t="s">
        <v>77</v>
      </c>
      <c r="E17" s="8" t="s">
        <v>78</v>
      </c>
      <c r="F17" s="9">
        <v>39637</v>
      </c>
      <c r="G17" s="2" t="s">
        <v>79</v>
      </c>
      <c r="H17" s="10">
        <v>17</v>
      </c>
      <c r="I17" s="2">
        <v>72.599999999999994</v>
      </c>
      <c r="J17" s="2">
        <v>175.3</v>
      </c>
      <c r="K17" s="1"/>
      <c r="L17" s="1"/>
      <c r="M17" s="7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34"/>
        <v>0</v>
      </c>
      <c r="AI17" s="1"/>
      <c r="AJ17" s="1">
        <f t="shared" si="35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">
        <v>15</v>
      </c>
      <c r="AV17" s="1"/>
      <c r="AW17" s="1"/>
      <c r="AX17" s="1"/>
      <c r="AY17" s="1"/>
      <c r="AZ17" s="1"/>
      <c r="BA17" s="1"/>
      <c r="BB17" s="1"/>
      <c r="BC17" s="2">
        <v>218</v>
      </c>
      <c r="BD17" s="1">
        <f t="shared" si="22"/>
        <v>3.0027548209366395</v>
      </c>
      <c r="BE17" s="2">
        <v>236</v>
      </c>
      <c r="BF17" s="1">
        <f t="shared" si="23"/>
        <v>3.2506887052341602</v>
      </c>
      <c r="BG17" s="2">
        <v>175</v>
      </c>
      <c r="BH17" s="1">
        <f t="shared" si="24"/>
        <v>2.4104683195592287</v>
      </c>
      <c r="BI17" s="2">
        <v>211</v>
      </c>
      <c r="BJ17" s="1">
        <f t="shared" si="25"/>
        <v>2.9063360881542701</v>
      </c>
      <c r="BK17" s="2">
        <v>118</v>
      </c>
      <c r="BL17" s="1">
        <f t="shared" si="26"/>
        <v>1.6253443526170801</v>
      </c>
      <c r="BM17" s="2">
        <v>140</v>
      </c>
      <c r="BN17" s="1">
        <f t="shared" si="27"/>
        <v>1.9283746556473831</v>
      </c>
      <c r="BO17" s="2">
        <v>95</v>
      </c>
      <c r="BP17" s="1">
        <f t="shared" si="28"/>
        <v>1.3085399449035813</v>
      </c>
      <c r="BQ17" s="2">
        <v>123</v>
      </c>
      <c r="BR17" s="1">
        <f t="shared" si="29"/>
        <v>1.694214876033058</v>
      </c>
      <c r="BS17" s="2">
        <v>131</v>
      </c>
      <c r="BT17" s="1">
        <f t="shared" si="30"/>
        <v>1.8044077134986227</v>
      </c>
      <c r="BU17" s="2">
        <v>172</v>
      </c>
      <c r="BV17" s="1">
        <f t="shared" si="31"/>
        <v>2.3691460055096423</v>
      </c>
      <c r="BW17" s="1">
        <f t="shared" si="32"/>
        <v>0.74857142857142855</v>
      </c>
      <c r="BX17" s="1">
        <f t="shared" si="33"/>
        <v>0.81516587677725116</v>
      </c>
    </row>
    <row r="18" spans="1:76" ht="14.25" customHeight="1">
      <c r="A18" s="5" t="s">
        <v>107</v>
      </c>
      <c r="B18" s="5"/>
      <c r="C18" s="5" t="s">
        <v>81</v>
      </c>
      <c r="D18" s="5" t="s">
        <v>77</v>
      </c>
      <c r="E18" s="5" t="s">
        <v>103</v>
      </c>
      <c r="F18" s="11">
        <v>38099</v>
      </c>
      <c r="G18" s="2" t="s">
        <v>79</v>
      </c>
      <c r="H18" s="4">
        <v>22</v>
      </c>
      <c r="I18" s="2">
        <v>80</v>
      </c>
      <c r="J18" s="2">
        <v>185</v>
      </c>
      <c r="K18" s="1"/>
      <c r="L18" s="1"/>
      <c r="M18" s="7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34"/>
        <v>0</v>
      </c>
      <c r="AI18" s="1"/>
      <c r="AJ18" s="1">
        <f t="shared" si="35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1"/>
      <c r="AW18" s="1"/>
      <c r="AX18" s="1"/>
      <c r="AY18" s="1"/>
      <c r="AZ18" s="1"/>
      <c r="BA18" s="1"/>
      <c r="BB18" s="1"/>
      <c r="BC18" s="2">
        <v>262</v>
      </c>
      <c r="BD18" s="1">
        <f t="shared" si="22"/>
        <v>3.2749999999999999</v>
      </c>
      <c r="BE18" s="2">
        <v>246</v>
      </c>
      <c r="BF18" s="1">
        <f t="shared" si="23"/>
        <v>3.0750000000000002</v>
      </c>
      <c r="BG18" s="2">
        <v>160</v>
      </c>
      <c r="BH18" s="1">
        <f t="shared" si="24"/>
        <v>2</v>
      </c>
      <c r="BI18" s="2">
        <v>167</v>
      </c>
      <c r="BJ18" s="1">
        <f t="shared" si="25"/>
        <v>2.0874999999999999</v>
      </c>
      <c r="BK18" s="2">
        <v>124</v>
      </c>
      <c r="BL18" s="1">
        <f t="shared" si="26"/>
        <v>1.55</v>
      </c>
      <c r="BM18" s="2">
        <v>125</v>
      </c>
      <c r="BN18" s="1">
        <f t="shared" si="27"/>
        <v>1.5625</v>
      </c>
      <c r="BO18" s="2">
        <v>83</v>
      </c>
      <c r="BP18" s="1">
        <f t="shared" si="28"/>
        <v>1.0375000000000001</v>
      </c>
      <c r="BQ18" s="2">
        <v>92</v>
      </c>
      <c r="BR18" s="1">
        <f t="shared" si="29"/>
        <v>1.1499999999999999</v>
      </c>
      <c r="BS18" s="2">
        <v>146</v>
      </c>
      <c r="BT18" s="1">
        <f t="shared" si="30"/>
        <v>1.825</v>
      </c>
      <c r="BU18" s="2">
        <v>144</v>
      </c>
      <c r="BV18" s="1">
        <f t="shared" si="31"/>
        <v>1.8</v>
      </c>
      <c r="BW18" s="1">
        <f t="shared" si="32"/>
        <v>0.91249999999999998</v>
      </c>
      <c r="BX18" s="1">
        <f t="shared" si="33"/>
        <v>0.86227544910179643</v>
      </c>
    </row>
    <row r="19" spans="1:76" ht="14.25" customHeight="1">
      <c r="A19" s="10" t="s">
        <v>108</v>
      </c>
      <c r="B19" s="8"/>
      <c r="C19" s="8" t="s">
        <v>81</v>
      </c>
      <c r="D19" s="8" t="s">
        <v>77</v>
      </c>
      <c r="E19" s="8" t="s">
        <v>103</v>
      </c>
      <c r="F19" s="9">
        <v>35576</v>
      </c>
      <c r="G19" s="2" t="s">
        <v>79</v>
      </c>
      <c r="H19" s="10">
        <v>29</v>
      </c>
      <c r="I19" s="2">
        <v>86.1</v>
      </c>
      <c r="J19" s="2">
        <v>189.1</v>
      </c>
      <c r="K19" s="1"/>
      <c r="L19" s="1"/>
      <c r="M19" s="7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34"/>
        <v>0</v>
      </c>
      <c r="AI19" s="1"/>
      <c r="AJ19" s="1">
        <f t="shared" si="35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12">
        <v>11.5</v>
      </c>
      <c r="AS19" s="12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2">
        <v>221</v>
      </c>
      <c r="BD19" s="1">
        <f t="shared" si="22"/>
        <v>2.5667828106852499</v>
      </c>
      <c r="BE19" s="2">
        <v>306</v>
      </c>
      <c r="BF19" s="1">
        <f t="shared" si="23"/>
        <v>3.5540069686411151</v>
      </c>
      <c r="BG19" s="2">
        <v>188</v>
      </c>
      <c r="BH19" s="1">
        <f t="shared" si="24"/>
        <v>2.1835075493612082</v>
      </c>
      <c r="BI19" s="2">
        <v>217</v>
      </c>
      <c r="BJ19" s="1">
        <f t="shared" si="25"/>
        <v>2.5203252032520327</v>
      </c>
      <c r="BK19" s="2">
        <v>146</v>
      </c>
      <c r="BL19" s="1">
        <f t="shared" si="26"/>
        <v>1.6957026713124275</v>
      </c>
      <c r="BM19" s="2">
        <v>149</v>
      </c>
      <c r="BN19" s="1">
        <f t="shared" si="27"/>
        <v>1.7305458768873405</v>
      </c>
      <c r="BO19" s="2">
        <v>82</v>
      </c>
      <c r="BP19" s="1">
        <f t="shared" si="28"/>
        <v>0.95238095238095244</v>
      </c>
      <c r="BQ19" s="2">
        <v>111</v>
      </c>
      <c r="BR19" s="1">
        <f t="shared" si="29"/>
        <v>1.2891986062717771</v>
      </c>
      <c r="BS19" s="2">
        <v>185</v>
      </c>
      <c r="BT19" s="1">
        <f t="shared" si="30"/>
        <v>2.1486643437862951</v>
      </c>
      <c r="BU19" s="2">
        <v>168</v>
      </c>
      <c r="BV19" s="1">
        <f t="shared" si="31"/>
        <v>1.9512195121951221</v>
      </c>
      <c r="BW19" s="1">
        <f t="shared" si="32"/>
        <v>0.98404255319148937</v>
      </c>
      <c r="BX19" s="1">
        <f t="shared" si="33"/>
        <v>0.77419354838709675</v>
      </c>
    </row>
    <row r="20" spans="1:76" ht="14.25" customHeight="1">
      <c r="A20" s="4" t="s">
        <v>109</v>
      </c>
      <c r="B20" s="5"/>
      <c r="C20" s="5" t="s">
        <v>81</v>
      </c>
      <c r="D20" s="5" t="s">
        <v>92</v>
      </c>
      <c r="E20" s="5" t="s">
        <v>105</v>
      </c>
      <c r="F20" s="11">
        <v>37888</v>
      </c>
      <c r="G20" s="2" t="s">
        <v>79</v>
      </c>
      <c r="H20" s="4">
        <v>22</v>
      </c>
      <c r="I20" s="2">
        <v>80.7</v>
      </c>
      <c r="J20" s="2">
        <v>186.5</v>
      </c>
      <c r="K20" s="1"/>
      <c r="L20" s="1"/>
      <c r="M20" s="7">
        <v>46199</v>
      </c>
      <c r="N20" s="2">
        <v>1456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8.8000000000000007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19"/>
        <v>48.099999999999994</v>
      </c>
      <c r="Z20" s="1">
        <f t="shared" si="20"/>
        <v>61.8</v>
      </c>
      <c r="AA20" s="1">
        <f t="shared" si="21"/>
        <v>0.77831715210355978</v>
      </c>
      <c r="AB20" s="2">
        <v>15</v>
      </c>
      <c r="AC20" s="2">
        <v>15</v>
      </c>
      <c r="AD20" s="2">
        <v>11</v>
      </c>
      <c r="AE20" s="2">
        <v>12</v>
      </c>
      <c r="AF20" s="2">
        <v>16.5</v>
      </c>
      <c r="AG20" s="1"/>
      <c r="AH20" s="1">
        <f t="shared" si="34"/>
        <v>0</v>
      </c>
      <c r="AI20" s="1"/>
      <c r="AJ20" s="1">
        <f t="shared" si="35"/>
        <v>0</v>
      </c>
      <c r="AK20" s="1"/>
      <c r="AL20" s="1"/>
      <c r="AM20" s="2">
        <v>39.799999999999997</v>
      </c>
      <c r="AN20" s="2">
        <v>2312</v>
      </c>
      <c r="AO20" s="2">
        <v>13628</v>
      </c>
      <c r="AP20" s="2">
        <v>2.41</v>
      </c>
      <c r="AQ20" s="1"/>
      <c r="AR20" s="2">
        <v>13.3</v>
      </c>
      <c r="AS20" s="2">
        <v>16.7</v>
      </c>
      <c r="AT20" s="1"/>
      <c r="AU20" s="2">
        <v>16.5</v>
      </c>
      <c r="AV20" s="1"/>
      <c r="AW20" s="1"/>
      <c r="AX20" s="1"/>
      <c r="AY20" s="1"/>
      <c r="AZ20" s="1"/>
      <c r="BA20" s="1"/>
      <c r="BB20" s="1"/>
      <c r="BC20" s="2">
        <v>281</v>
      </c>
      <c r="BD20" s="1">
        <f t="shared" si="22"/>
        <v>3.4820322180916974</v>
      </c>
      <c r="BE20" s="2">
        <v>305</v>
      </c>
      <c r="BF20" s="1">
        <f t="shared" si="23"/>
        <v>3.7794299876084261</v>
      </c>
      <c r="BG20" s="2">
        <v>156</v>
      </c>
      <c r="BH20" s="1">
        <f t="shared" si="24"/>
        <v>1.9330855018587361</v>
      </c>
      <c r="BI20" s="2">
        <v>180</v>
      </c>
      <c r="BJ20" s="1">
        <f t="shared" si="25"/>
        <v>2.2304832713754648</v>
      </c>
      <c r="BK20" s="2">
        <v>173</v>
      </c>
      <c r="BL20" s="1">
        <f t="shared" si="26"/>
        <v>2.1437422552664187</v>
      </c>
      <c r="BM20" s="2">
        <v>162</v>
      </c>
      <c r="BN20" s="1">
        <f t="shared" si="27"/>
        <v>2.007434944237918</v>
      </c>
      <c r="BO20" s="2">
        <v>116</v>
      </c>
      <c r="BP20" s="1">
        <f t="shared" si="28"/>
        <v>1.4374225526641884</v>
      </c>
      <c r="BQ20" s="2">
        <v>158</v>
      </c>
      <c r="BR20" s="1">
        <f t="shared" si="29"/>
        <v>1.9578686493184634</v>
      </c>
      <c r="BS20" s="2">
        <v>215</v>
      </c>
      <c r="BT20" s="1">
        <f t="shared" si="30"/>
        <v>2.6641883519206937</v>
      </c>
      <c r="BU20" s="2">
        <v>234</v>
      </c>
      <c r="BV20" s="1">
        <f t="shared" si="31"/>
        <v>2.8996282527881041</v>
      </c>
      <c r="BW20" s="1">
        <f t="shared" si="32"/>
        <v>1.3782051282051282</v>
      </c>
      <c r="BX20" s="1">
        <f t="shared" si="33"/>
        <v>1.3</v>
      </c>
    </row>
    <row r="21" spans="1:76" ht="14.25" customHeight="1">
      <c r="A21" s="4" t="s">
        <v>110</v>
      </c>
      <c r="B21" s="5"/>
      <c r="C21" s="8" t="s">
        <v>76</v>
      </c>
      <c r="D21" s="8" t="s">
        <v>99</v>
      </c>
      <c r="E21" s="8" t="s">
        <v>100</v>
      </c>
      <c r="F21" s="14">
        <v>33541</v>
      </c>
      <c r="G21" s="2" t="s">
        <v>79</v>
      </c>
      <c r="H21" s="10">
        <v>34</v>
      </c>
      <c r="I21" s="2">
        <v>82</v>
      </c>
      <c r="J21" s="1"/>
      <c r="K21" s="1"/>
      <c r="L21" s="1"/>
      <c r="M21" s="7">
        <v>46199</v>
      </c>
      <c r="N21" s="2">
        <v>1107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8.8000000000000007</v>
      </c>
      <c r="U21" s="2">
        <v>31.3</v>
      </c>
      <c r="V21" s="2">
        <v>32.200000000000003</v>
      </c>
      <c r="W21" s="2">
        <v>25.9</v>
      </c>
      <c r="X21" s="2">
        <v>24.2</v>
      </c>
      <c r="Y21" s="1">
        <f t="shared" si="19"/>
        <v>63.5</v>
      </c>
      <c r="Z21" s="1">
        <f t="shared" si="20"/>
        <v>50.099999999999994</v>
      </c>
      <c r="AA21" s="1">
        <f t="shared" si="21"/>
        <v>1.2674650698602796</v>
      </c>
      <c r="AB21" s="2">
        <v>16</v>
      </c>
      <c r="AC21" s="2">
        <v>15</v>
      </c>
      <c r="AD21" s="2">
        <v>9</v>
      </c>
      <c r="AE21" s="2">
        <v>9</v>
      </c>
      <c r="AF21" s="2">
        <v>20</v>
      </c>
      <c r="AG21" s="1"/>
      <c r="AH21" s="1">
        <f t="shared" si="34"/>
        <v>0</v>
      </c>
      <c r="AI21" s="1"/>
      <c r="AJ21" s="1">
        <f t="shared" si="35"/>
        <v>0</v>
      </c>
      <c r="AK21" s="1"/>
      <c r="AL21" s="1"/>
      <c r="AM21" s="2">
        <v>35.700000000000003</v>
      </c>
      <c r="AN21" s="2">
        <v>2200</v>
      </c>
      <c r="AO21" s="2">
        <v>12458</v>
      </c>
      <c r="AP21" s="2">
        <v>2.2200000000000002</v>
      </c>
      <c r="AQ21" s="1"/>
      <c r="AR21" s="2">
        <v>11.5</v>
      </c>
      <c r="AS21" s="2">
        <v>15.3</v>
      </c>
      <c r="AT21" s="1"/>
      <c r="AU21" s="2">
        <v>16</v>
      </c>
      <c r="AV21" s="1"/>
      <c r="AW21" s="1"/>
      <c r="AX21" s="1"/>
      <c r="AY21" s="1"/>
      <c r="AZ21" s="1"/>
      <c r="BA21" s="1"/>
      <c r="BB21" s="1"/>
      <c r="BC21" s="2">
        <v>226</v>
      </c>
      <c r="BD21" s="1">
        <f t="shared" si="22"/>
        <v>2.7560975609756095</v>
      </c>
      <c r="BE21" s="2">
        <v>209</v>
      </c>
      <c r="BF21" s="1">
        <f t="shared" si="23"/>
        <v>2.5487804878048781</v>
      </c>
      <c r="BG21" s="2">
        <v>161</v>
      </c>
      <c r="BH21" s="1">
        <f t="shared" si="24"/>
        <v>1.9634146341463414</v>
      </c>
      <c r="BI21" s="2">
        <v>162</v>
      </c>
      <c r="BJ21" s="1">
        <f t="shared" si="25"/>
        <v>1.975609756097561</v>
      </c>
      <c r="BK21" s="2">
        <v>144</v>
      </c>
      <c r="BL21" s="1">
        <f t="shared" si="26"/>
        <v>1.7560975609756098</v>
      </c>
      <c r="BM21" s="2">
        <v>148</v>
      </c>
      <c r="BN21" s="1">
        <f t="shared" si="27"/>
        <v>1.8048780487804879</v>
      </c>
      <c r="BO21" s="2">
        <v>111</v>
      </c>
      <c r="BP21" s="1">
        <f t="shared" si="28"/>
        <v>1.3536585365853659</v>
      </c>
      <c r="BQ21" s="2">
        <v>129</v>
      </c>
      <c r="BR21" s="1">
        <f t="shared" si="29"/>
        <v>1.5731707317073171</v>
      </c>
      <c r="BS21" s="2">
        <v>178</v>
      </c>
      <c r="BT21" s="1">
        <f t="shared" si="30"/>
        <v>2.1707317073170733</v>
      </c>
      <c r="BU21" s="2">
        <v>199</v>
      </c>
      <c r="BV21" s="1">
        <f t="shared" si="31"/>
        <v>2.4268292682926829</v>
      </c>
      <c r="BW21" s="1">
        <f t="shared" si="32"/>
        <v>1.1055900621118013</v>
      </c>
      <c r="BX21" s="1">
        <f t="shared" si="33"/>
        <v>1.228395061728395</v>
      </c>
    </row>
    <row r="22" spans="1:76" ht="14.25" customHeight="1">
      <c r="A22" s="10" t="s">
        <v>111</v>
      </c>
      <c r="B22" s="8"/>
      <c r="C22" s="5" t="s">
        <v>81</v>
      </c>
      <c r="D22" s="5" t="s">
        <v>82</v>
      </c>
      <c r="E22" s="5" t="s">
        <v>83</v>
      </c>
      <c r="F22" s="11">
        <v>35181</v>
      </c>
      <c r="G22" s="2" t="s">
        <v>79</v>
      </c>
      <c r="H22" s="4">
        <v>30</v>
      </c>
      <c r="I22" s="2">
        <v>90.3</v>
      </c>
      <c r="J22" s="2">
        <v>191.8</v>
      </c>
      <c r="K22" s="1"/>
      <c r="L22" s="1"/>
      <c r="M22" s="7">
        <v>46199</v>
      </c>
      <c r="N22" s="2">
        <v>1302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</v>
      </c>
      <c r="U22" s="2">
        <v>32.200000000000003</v>
      </c>
      <c r="V22" s="2">
        <v>35.5</v>
      </c>
      <c r="W22" s="2">
        <v>26.9</v>
      </c>
      <c r="X22" s="2">
        <v>29.3</v>
      </c>
      <c r="Y22" s="1">
        <f t="shared" si="19"/>
        <v>67.7</v>
      </c>
      <c r="Z22" s="1">
        <f t="shared" si="20"/>
        <v>56.2</v>
      </c>
      <c r="AA22" s="1">
        <f t="shared" si="21"/>
        <v>1.2046263345195729</v>
      </c>
      <c r="AB22" s="2">
        <v>16</v>
      </c>
      <c r="AC22" s="2">
        <v>15</v>
      </c>
      <c r="AD22" s="2">
        <v>14</v>
      </c>
      <c r="AE22" s="2">
        <v>11</v>
      </c>
      <c r="AF22" s="2">
        <v>26.5</v>
      </c>
      <c r="AG22" s="1"/>
      <c r="AH22" s="1">
        <f t="shared" si="34"/>
        <v>0</v>
      </c>
      <c r="AI22" s="1"/>
      <c r="AJ22" s="1">
        <f t="shared" si="35"/>
        <v>0</v>
      </c>
      <c r="AK22" s="1"/>
      <c r="AL22" s="1"/>
      <c r="AM22" s="2">
        <v>33</v>
      </c>
      <c r="AN22" s="2">
        <v>2296</v>
      </c>
      <c r="AO22" s="2">
        <v>12668</v>
      </c>
      <c r="AP22" s="2">
        <v>1.89</v>
      </c>
      <c r="AQ22" s="1"/>
      <c r="AR22" s="2">
        <v>12.3</v>
      </c>
      <c r="AS22" s="2">
        <v>15.6</v>
      </c>
      <c r="AT22" s="1"/>
      <c r="AU22" s="2">
        <v>16</v>
      </c>
      <c r="AV22" s="1"/>
      <c r="AW22" s="1"/>
      <c r="AX22" s="1"/>
      <c r="AY22" s="1"/>
      <c r="AZ22" s="1"/>
      <c r="BA22" s="1"/>
      <c r="BB22" s="1"/>
      <c r="BC22" s="2">
        <v>255</v>
      </c>
      <c r="BD22" s="1">
        <f t="shared" si="22"/>
        <v>2.823920265780731</v>
      </c>
      <c r="BE22" s="2">
        <v>333</v>
      </c>
      <c r="BF22" s="1">
        <f t="shared" si="23"/>
        <v>3.6877076411960132</v>
      </c>
      <c r="BG22" s="2">
        <v>183</v>
      </c>
      <c r="BH22" s="1">
        <f t="shared" si="24"/>
        <v>2.0265780730897012</v>
      </c>
      <c r="BI22" s="2">
        <v>212</v>
      </c>
      <c r="BJ22" s="1">
        <f t="shared" si="25"/>
        <v>2.3477297895902547</v>
      </c>
      <c r="BK22" s="2">
        <v>189</v>
      </c>
      <c r="BL22" s="1">
        <f t="shared" si="26"/>
        <v>2.0930232558139537</v>
      </c>
      <c r="BM22" s="2">
        <v>214</v>
      </c>
      <c r="BN22" s="1">
        <f t="shared" si="27"/>
        <v>2.3698781838316725</v>
      </c>
      <c r="BO22" s="2">
        <v>166</v>
      </c>
      <c r="BP22" s="1">
        <f t="shared" si="28"/>
        <v>1.8383167220376524</v>
      </c>
      <c r="BQ22" s="2">
        <v>170</v>
      </c>
      <c r="BR22" s="1">
        <f t="shared" si="29"/>
        <v>1.8826135105204873</v>
      </c>
      <c r="BS22" s="2">
        <v>210</v>
      </c>
      <c r="BT22" s="1">
        <f t="shared" si="30"/>
        <v>2.3255813953488373</v>
      </c>
      <c r="BU22" s="2">
        <v>239</v>
      </c>
      <c r="BV22" s="1">
        <f t="shared" si="31"/>
        <v>2.6467331118493909</v>
      </c>
      <c r="BW22" s="1">
        <f t="shared" si="32"/>
        <v>1.1475409836065573</v>
      </c>
      <c r="BX22" s="1">
        <f t="shared" si="33"/>
        <v>1.1273584905660377</v>
      </c>
    </row>
    <row r="23" spans="1:76" ht="14.25" customHeight="1">
      <c r="A23" s="4" t="s">
        <v>112</v>
      </c>
      <c r="B23" s="5"/>
      <c r="C23" s="8"/>
      <c r="D23" s="8" t="s">
        <v>92</v>
      </c>
      <c r="E23" s="8" t="s">
        <v>93</v>
      </c>
      <c r="F23" s="14">
        <v>39046</v>
      </c>
      <c r="G23" s="2" t="s">
        <v>79</v>
      </c>
      <c r="H23" s="10">
        <v>19</v>
      </c>
      <c r="I23" s="2">
        <v>70.5</v>
      </c>
      <c r="J23" s="2">
        <v>171</v>
      </c>
      <c r="K23" s="1"/>
      <c r="L23" s="1"/>
      <c r="M23" s="7">
        <v>46199</v>
      </c>
      <c r="N23" s="2">
        <v>1165</v>
      </c>
      <c r="O23" s="2">
        <v>31.9</v>
      </c>
      <c r="P23" s="2">
        <v>33.200000000000003</v>
      </c>
      <c r="Q23" s="2">
        <v>6.3</v>
      </c>
      <c r="R23" s="2">
        <v>10.1</v>
      </c>
      <c r="S23" s="2">
        <v>9.6999999999999993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19"/>
        <v>56.2</v>
      </c>
      <c r="Z23" s="1">
        <f t="shared" si="20"/>
        <v>52.5</v>
      </c>
      <c r="AA23" s="1">
        <f t="shared" si="21"/>
        <v>1.0704761904761906</v>
      </c>
      <c r="AB23" s="2">
        <v>21</v>
      </c>
      <c r="AC23" s="2">
        <v>17</v>
      </c>
      <c r="AD23" s="2">
        <v>8</v>
      </c>
      <c r="AE23" s="2">
        <v>6</v>
      </c>
      <c r="AF23" s="2">
        <v>24</v>
      </c>
      <c r="AG23" s="1"/>
      <c r="AH23" s="1">
        <f t="shared" si="34"/>
        <v>0</v>
      </c>
      <c r="AI23" s="1"/>
      <c r="AJ23" s="1">
        <f t="shared" si="35"/>
        <v>0</v>
      </c>
      <c r="AK23" s="1"/>
      <c r="AL23" s="1"/>
      <c r="AM23" s="2">
        <v>42.4</v>
      </c>
      <c r="AN23" s="2">
        <v>1823.4</v>
      </c>
      <c r="AO23" s="2">
        <v>5762</v>
      </c>
      <c r="AP23" s="2">
        <v>2.66</v>
      </c>
      <c r="AQ23" s="1"/>
      <c r="AR23" s="12">
        <v>11.8</v>
      </c>
      <c r="AS23" s="12">
        <v>15.9</v>
      </c>
      <c r="AT23" s="1"/>
      <c r="AU23" s="2">
        <v>16.5</v>
      </c>
      <c r="AV23" s="1"/>
      <c r="AW23" s="1"/>
      <c r="AX23" s="1"/>
      <c r="AY23" s="1"/>
      <c r="AZ23" s="1"/>
      <c r="BA23" s="1"/>
      <c r="BB23" s="1"/>
      <c r="BC23" s="2">
        <v>203.4</v>
      </c>
      <c r="BD23" s="1">
        <f t="shared" si="22"/>
        <v>2.8851063829787233</v>
      </c>
      <c r="BE23" s="2">
        <v>161.69999999999999</v>
      </c>
      <c r="BF23" s="1">
        <f t="shared" si="23"/>
        <v>2.2936170212765954</v>
      </c>
      <c r="BG23" s="2">
        <v>191.7</v>
      </c>
      <c r="BH23" s="1">
        <f t="shared" si="24"/>
        <v>2.7191489361702126</v>
      </c>
      <c r="BI23" s="2">
        <v>182.3</v>
      </c>
      <c r="BJ23" s="1">
        <f t="shared" si="25"/>
        <v>2.5858156028368797</v>
      </c>
      <c r="BK23" s="2">
        <v>125.8</v>
      </c>
      <c r="BL23" s="1">
        <f t="shared" si="26"/>
        <v>1.7843971631205673</v>
      </c>
      <c r="BM23" s="2">
        <v>134.5</v>
      </c>
      <c r="BN23" s="1">
        <f t="shared" si="27"/>
        <v>1.9078014184397163</v>
      </c>
      <c r="BO23" s="2">
        <v>144.30000000000001</v>
      </c>
      <c r="BP23" s="1">
        <f t="shared" si="28"/>
        <v>2.0468085106382978</v>
      </c>
      <c r="BQ23" s="2">
        <v>146</v>
      </c>
      <c r="BR23" s="1">
        <f t="shared" si="29"/>
        <v>2.0709219858156027</v>
      </c>
      <c r="BS23" s="2">
        <v>175.3</v>
      </c>
      <c r="BT23" s="1">
        <f t="shared" si="30"/>
        <v>2.4865248226950358</v>
      </c>
      <c r="BU23" s="2">
        <v>214.8</v>
      </c>
      <c r="BV23" s="1">
        <f t="shared" si="31"/>
        <v>3.0468085106382978</v>
      </c>
      <c r="BW23" s="1">
        <f t="shared" si="32"/>
        <v>0.9144496609285343</v>
      </c>
      <c r="BX23" s="1">
        <f t="shared" si="33"/>
        <v>1.1782775644541963</v>
      </c>
    </row>
    <row r="24" spans="1:76" ht="14.25" customHeight="1">
      <c r="A24" s="10" t="s">
        <v>113</v>
      </c>
      <c r="B24" s="8"/>
      <c r="C24" s="5" t="s">
        <v>81</v>
      </c>
      <c r="D24" s="5" t="s">
        <v>99</v>
      </c>
      <c r="E24" s="5" t="s">
        <v>100</v>
      </c>
      <c r="F24" s="11">
        <v>38061</v>
      </c>
      <c r="G24" s="2" t="s">
        <v>79</v>
      </c>
      <c r="H24" s="4">
        <v>22</v>
      </c>
      <c r="I24" s="2">
        <v>93.8</v>
      </c>
      <c r="J24" s="2">
        <v>188.9</v>
      </c>
      <c r="K24" s="1"/>
      <c r="L24" s="1"/>
      <c r="M24" s="7">
        <v>46199</v>
      </c>
      <c r="N24" s="2">
        <v>1340</v>
      </c>
      <c r="O24" s="2">
        <v>46.2</v>
      </c>
      <c r="P24" s="2">
        <v>38.700000000000003</v>
      </c>
      <c r="Q24" s="2">
        <v>9.1</v>
      </c>
      <c r="R24" s="2">
        <v>11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19"/>
        <v>59</v>
      </c>
      <c r="Z24" s="1">
        <f t="shared" si="20"/>
        <v>68</v>
      </c>
      <c r="AA24" s="1">
        <f t="shared" si="21"/>
        <v>0.86764705882352944</v>
      </c>
      <c r="AB24" s="2">
        <v>22</v>
      </c>
      <c r="AC24" s="2">
        <v>17</v>
      </c>
      <c r="AD24" s="2">
        <v>5</v>
      </c>
      <c r="AE24" s="2">
        <v>6</v>
      </c>
      <c r="AF24" s="2">
        <v>37</v>
      </c>
      <c r="AG24" s="1"/>
      <c r="AH24" s="1">
        <f t="shared" si="34"/>
        <v>0</v>
      </c>
      <c r="AI24" s="1"/>
      <c r="AJ24" s="1">
        <f t="shared" si="35"/>
        <v>0</v>
      </c>
      <c r="AK24" s="1"/>
      <c r="AL24" s="1"/>
      <c r="AM24" s="2">
        <v>36.5</v>
      </c>
      <c r="AN24" s="2">
        <v>2228.3000000000002</v>
      </c>
      <c r="AO24" s="2">
        <v>12667</v>
      </c>
      <c r="AP24" s="2">
        <v>1.92</v>
      </c>
      <c r="AQ24" s="1"/>
      <c r="AR24" s="2" t="s">
        <v>114</v>
      </c>
      <c r="AS24" s="2" t="s">
        <v>114</v>
      </c>
      <c r="AT24" s="1"/>
      <c r="AU24" s="2"/>
      <c r="AV24" s="1"/>
      <c r="AW24" s="1"/>
      <c r="AX24" s="1"/>
      <c r="AY24" s="1"/>
      <c r="AZ24" s="1"/>
      <c r="BA24" s="1"/>
      <c r="BB24" s="1"/>
      <c r="BC24" s="2">
        <v>313</v>
      </c>
      <c r="BD24" s="1">
        <f t="shared" si="22"/>
        <v>3.3368869936034118</v>
      </c>
      <c r="BE24" s="2">
        <v>297</v>
      </c>
      <c r="BF24" s="1">
        <f t="shared" si="23"/>
        <v>3.1663113006396588</v>
      </c>
      <c r="BG24" s="2">
        <v>198</v>
      </c>
      <c r="BH24" s="1">
        <f t="shared" si="24"/>
        <v>2.1108742004264394</v>
      </c>
      <c r="BI24" s="2">
        <v>190</v>
      </c>
      <c r="BJ24" s="1">
        <f t="shared" si="25"/>
        <v>2.0255863539445631</v>
      </c>
      <c r="BK24" s="2">
        <v>195</v>
      </c>
      <c r="BL24" s="1">
        <f t="shared" si="26"/>
        <v>2.0788912579957355</v>
      </c>
      <c r="BM24" s="2">
        <v>205</v>
      </c>
      <c r="BN24" s="1">
        <f t="shared" si="27"/>
        <v>2.1855010660980811</v>
      </c>
      <c r="BO24" s="2">
        <v>182</v>
      </c>
      <c r="BP24" s="1">
        <f t="shared" si="28"/>
        <v>1.9402985074626866</v>
      </c>
      <c r="BQ24" s="2">
        <v>177</v>
      </c>
      <c r="BR24" s="1">
        <f t="shared" si="29"/>
        <v>1.886993603411514</v>
      </c>
      <c r="BS24" s="2">
        <v>263</v>
      </c>
      <c r="BT24" s="1">
        <f t="shared" si="30"/>
        <v>2.8038379530916844</v>
      </c>
      <c r="BU24" s="2">
        <v>165</v>
      </c>
      <c r="BV24" s="1">
        <f t="shared" si="31"/>
        <v>1.7590618336886994</v>
      </c>
      <c r="BW24" s="1">
        <f t="shared" si="32"/>
        <v>1.3282828282828283</v>
      </c>
      <c r="BX24" s="1">
        <f t="shared" si="33"/>
        <v>0.86842105263157898</v>
      </c>
    </row>
    <row r="25" spans="1:76" ht="14.25" customHeight="1">
      <c r="A25" s="4" t="s">
        <v>115</v>
      </c>
      <c r="B25" s="5"/>
      <c r="C25" s="8" t="s">
        <v>81</v>
      </c>
      <c r="D25" s="8" t="s">
        <v>92</v>
      </c>
      <c r="E25" s="8" t="s">
        <v>93</v>
      </c>
      <c r="F25" s="14">
        <v>39041</v>
      </c>
      <c r="G25" s="2" t="s">
        <v>79</v>
      </c>
      <c r="H25" s="10">
        <v>19</v>
      </c>
      <c r="I25" s="2">
        <v>65.900000000000006</v>
      </c>
      <c r="J25" s="2">
        <v>177.5</v>
      </c>
      <c r="K25" s="1"/>
      <c r="L25" s="1"/>
      <c r="M25" s="7">
        <v>46199</v>
      </c>
      <c r="N25" s="2">
        <v>938</v>
      </c>
      <c r="O25" s="2">
        <v>29.1</v>
      </c>
      <c r="P25" s="2">
        <v>33.799999999999997</v>
      </c>
      <c r="Q25" s="2">
        <v>3</v>
      </c>
      <c r="R25" s="2">
        <v>4.5999999999999996</v>
      </c>
      <c r="S25" s="2">
        <v>3.8</v>
      </c>
      <c r="T25" s="2">
        <v>5.0999999999999996</v>
      </c>
      <c r="U25" s="2">
        <v>9.1</v>
      </c>
      <c r="V25" s="2">
        <v>9.5</v>
      </c>
      <c r="W25" s="2">
        <v>17</v>
      </c>
      <c r="X25" s="2">
        <v>17.2</v>
      </c>
      <c r="Y25" s="1">
        <f t="shared" si="19"/>
        <v>18.600000000000001</v>
      </c>
      <c r="Z25" s="1">
        <f t="shared" si="20"/>
        <v>34.200000000000003</v>
      </c>
      <c r="AA25" s="1">
        <f t="shared" si="21"/>
        <v>0.54385964912280704</v>
      </c>
      <c r="AB25" s="2">
        <v>9</v>
      </c>
      <c r="AC25" s="2">
        <v>14</v>
      </c>
      <c r="AD25" s="2">
        <v>12.5</v>
      </c>
      <c r="AE25" s="2">
        <v>13</v>
      </c>
      <c r="AF25" s="2">
        <v>16</v>
      </c>
      <c r="AG25" s="1"/>
      <c r="AH25" s="1">
        <f t="shared" si="34"/>
        <v>0</v>
      </c>
      <c r="AI25" s="1"/>
      <c r="AJ25" s="1">
        <f t="shared" si="35"/>
        <v>0</v>
      </c>
      <c r="AK25" s="1"/>
      <c r="AL25" s="1"/>
      <c r="AM25" s="2">
        <v>43.4</v>
      </c>
      <c r="AN25" s="2">
        <v>1733</v>
      </c>
      <c r="AO25" s="2">
        <v>9814</v>
      </c>
      <c r="AP25" s="2">
        <v>1.98</v>
      </c>
      <c r="AQ25" s="1"/>
      <c r="AR25" s="12">
        <v>12.6</v>
      </c>
      <c r="AS25" s="12">
        <v>15</v>
      </c>
      <c r="AT25" s="1"/>
      <c r="AU25" s="2">
        <v>16</v>
      </c>
      <c r="AV25" s="1"/>
      <c r="AW25" s="1"/>
      <c r="AX25" s="1"/>
      <c r="AY25" s="1"/>
      <c r="AZ25" s="1"/>
      <c r="BA25" s="1"/>
      <c r="BB25" s="1"/>
      <c r="BC25" s="2">
        <v>251</v>
      </c>
      <c r="BD25" s="1">
        <f t="shared" si="22"/>
        <v>3.8088012139605461</v>
      </c>
      <c r="BE25" s="2">
        <v>249</v>
      </c>
      <c r="BF25" s="1">
        <f t="shared" si="23"/>
        <v>3.7784522003034899</v>
      </c>
      <c r="BG25" s="2">
        <v>187</v>
      </c>
      <c r="BH25" s="1">
        <f t="shared" si="24"/>
        <v>2.8376327769347496</v>
      </c>
      <c r="BI25" s="2">
        <v>196</v>
      </c>
      <c r="BJ25" s="1">
        <f t="shared" si="25"/>
        <v>2.9742033383915021</v>
      </c>
      <c r="BK25" s="2">
        <v>160</v>
      </c>
      <c r="BL25" s="1">
        <f t="shared" si="26"/>
        <v>2.4279210925644916</v>
      </c>
      <c r="BM25" s="2">
        <v>170</v>
      </c>
      <c r="BN25" s="1">
        <f t="shared" si="27"/>
        <v>2.5796661608497722</v>
      </c>
      <c r="BO25" s="2">
        <v>141</v>
      </c>
      <c r="BP25" s="1">
        <f t="shared" si="28"/>
        <v>2.1396054628224581</v>
      </c>
      <c r="BQ25" s="2">
        <v>115</v>
      </c>
      <c r="BR25" s="1">
        <f t="shared" si="29"/>
        <v>1.7450682852807282</v>
      </c>
      <c r="BS25" s="2">
        <v>145</v>
      </c>
      <c r="BT25" s="1">
        <f t="shared" si="30"/>
        <v>2.2003034901365703</v>
      </c>
      <c r="BU25" s="2">
        <v>155</v>
      </c>
      <c r="BV25" s="1">
        <f t="shared" si="31"/>
        <v>2.3520485584218509</v>
      </c>
      <c r="BW25" s="1">
        <f t="shared" si="32"/>
        <v>0.77540106951871657</v>
      </c>
      <c r="BX25" s="1">
        <f t="shared" si="33"/>
        <v>0.79081632653061229</v>
      </c>
    </row>
    <row r="26" spans="1:76" ht="14.25" customHeight="1">
      <c r="A26" s="10" t="s">
        <v>116</v>
      </c>
      <c r="B26" s="8"/>
      <c r="C26" s="5" t="s">
        <v>81</v>
      </c>
      <c r="D26" s="5" t="s">
        <v>92</v>
      </c>
      <c r="E26" s="5" t="s">
        <v>96</v>
      </c>
      <c r="F26" s="11">
        <v>35162</v>
      </c>
      <c r="G26" s="2" t="s">
        <v>117</v>
      </c>
      <c r="H26" s="4">
        <v>30</v>
      </c>
      <c r="I26" s="1"/>
      <c r="J26" s="2">
        <v>181.5</v>
      </c>
      <c r="K26" s="1"/>
      <c r="L26" s="1"/>
      <c r="M26" s="7">
        <v>46199</v>
      </c>
      <c r="N26" s="2">
        <v>1140</v>
      </c>
      <c r="O26" s="2">
        <v>35.1</v>
      </c>
      <c r="P26" s="2">
        <v>36.1</v>
      </c>
      <c r="Q26" s="2">
        <v>8.9</v>
      </c>
      <c r="R26" s="2">
        <v>7.7</v>
      </c>
      <c r="S26" s="2">
        <v>11</v>
      </c>
      <c r="T26" s="2">
        <v>9.3000000000000007</v>
      </c>
      <c r="U26" s="2">
        <v>19.600000000000001</v>
      </c>
      <c r="V26" s="2">
        <v>19.8</v>
      </c>
      <c r="W26" s="2">
        <v>24.1</v>
      </c>
      <c r="X26" s="2">
        <v>25.2</v>
      </c>
      <c r="Y26" s="1">
        <f t="shared" si="19"/>
        <v>39.400000000000006</v>
      </c>
      <c r="Z26" s="1">
        <f t="shared" si="20"/>
        <v>49.3</v>
      </c>
      <c r="AA26" s="1">
        <f t="shared" si="21"/>
        <v>0.79918864097363096</v>
      </c>
      <c r="AB26" s="2">
        <v>20</v>
      </c>
      <c r="AC26" s="2">
        <v>20</v>
      </c>
      <c r="AD26" s="2">
        <v>13</v>
      </c>
      <c r="AE26" s="2">
        <v>13</v>
      </c>
      <c r="AF26" s="2">
        <v>30</v>
      </c>
      <c r="AG26" s="1"/>
      <c r="AH26" s="1" t="e">
        <f t="shared" si="34"/>
        <v>#DIV/0!</v>
      </c>
      <c r="AI26" s="1"/>
      <c r="AJ26" s="1" t="e">
        <f t="shared" si="35"/>
        <v>#DIV/0!</v>
      </c>
      <c r="AK26" s="1"/>
      <c r="AL26" s="1"/>
      <c r="AM26" s="2">
        <v>34.4</v>
      </c>
      <c r="AN26" s="2">
        <v>1912</v>
      </c>
      <c r="AO26" s="2">
        <v>15358</v>
      </c>
      <c r="AP26" s="2">
        <v>2.92</v>
      </c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2">
        <v>211</v>
      </c>
      <c r="BD26" s="1" t="e">
        <f t="shared" si="22"/>
        <v>#DIV/0!</v>
      </c>
      <c r="BE26" s="2">
        <v>250</v>
      </c>
      <c r="BF26" s="1" t="e">
        <f t="shared" si="23"/>
        <v>#DIV/0!</v>
      </c>
      <c r="BG26" s="2">
        <v>136</v>
      </c>
      <c r="BH26" s="1" t="e">
        <f t="shared" si="24"/>
        <v>#DIV/0!</v>
      </c>
      <c r="BI26" s="2">
        <v>144</v>
      </c>
      <c r="BJ26" s="1" t="e">
        <f t="shared" si="25"/>
        <v>#DIV/0!</v>
      </c>
      <c r="BK26" s="2">
        <v>130</v>
      </c>
      <c r="BL26" s="1" t="e">
        <f t="shared" si="26"/>
        <v>#DIV/0!</v>
      </c>
      <c r="BM26" s="2">
        <v>147</v>
      </c>
      <c r="BN26" s="1" t="e">
        <f t="shared" si="27"/>
        <v>#DIV/0!</v>
      </c>
      <c r="BO26" s="2">
        <v>92</v>
      </c>
      <c r="BP26" s="1" t="e">
        <f t="shared" si="28"/>
        <v>#DIV/0!</v>
      </c>
      <c r="BQ26" s="2">
        <v>114</v>
      </c>
      <c r="BR26" s="1" t="e">
        <f t="shared" si="29"/>
        <v>#DIV/0!</v>
      </c>
      <c r="BS26" s="2">
        <v>115</v>
      </c>
      <c r="BT26" s="1" t="e">
        <f t="shared" si="30"/>
        <v>#DIV/0!</v>
      </c>
      <c r="BU26" s="2">
        <v>158</v>
      </c>
      <c r="BV26" s="1" t="e">
        <f t="shared" si="31"/>
        <v>#DIV/0!</v>
      </c>
      <c r="BW26" s="1">
        <f t="shared" si="32"/>
        <v>0.84558823529411764</v>
      </c>
      <c r="BX26" s="1">
        <f t="shared" si="33"/>
        <v>1.0972222222222223</v>
      </c>
    </row>
    <row r="27" spans="1:76" ht="14.25" customHeight="1">
      <c r="A27" s="4" t="s">
        <v>118</v>
      </c>
      <c r="B27" s="5"/>
      <c r="C27" s="8" t="s">
        <v>81</v>
      </c>
      <c r="D27" s="8" t="s">
        <v>77</v>
      </c>
      <c r="E27" s="8" t="s">
        <v>78</v>
      </c>
      <c r="F27" s="9">
        <v>38420</v>
      </c>
      <c r="G27" s="2" t="s">
        <v>117</v>
      </c>
      <c r="H27" s="10">
        <v>21</v>
      </c>
      <c r="I27" s="1"/>
      <c r="J27" s="1"/>
      <c r="K27" s="1"/>
      <c r="L27" s="1"/>
      <c r="M27" s="7">
        <v>46199</v>
      </c>
      <c r="N27" s="1"/>
      <c r="O27" s="2">
        <v>36</v>
      </c>
      <c r="P27" s="2">
        <v>36</v>
      </c>
      <c r="Q27" s="2">
        <v>10.5</v>
      </c>
      <c r="R27" s="2">
        <v>10.1</v>
      </c>
      <c r="S27" s="2">
        <v>9.6</v>
      </c>
      <c r="T27" s="2">
        <v>10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19"/>
        <v>60.3</v>
      </c>
      <c r="Z27" s="1">
        <f t="shared" si="20"/>
        <v>35.799999999999997</v>
      </c>
      <c r="AA27" s="1">
        <f t="shared" si="21"/>
        <v>1.6843575418994414</v>
      </c>
      <c r="AB27" s="2">
        <v>17</v>
      </c>
      <c r="AC27" s="2">
        <v>9</v>
      </c>
      <c r="AD27" s="2">
        <v>11</v>
      </c>
      <c r="AE27" s="2">
        <v>11</v>
      </c>
      <c r="AF27" s="2">
        <v>33</v>
      </c>
      <c r="AG27" s="1"/>
      <c r="AH27" s="1" t="e">
        <f t="shared" si="34"/>
        <v>#DIV/0!</v>
      </c>
      <c r="AI27" s="1"/>
      <c r="AJ27" s="1" t="e">
        <f t="shared" si="35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2">
        <v>276</v>
      </c>
      <c r="BD27" s="1" t="e">
        <f t="shared" si="22"/>
        <v>#DIV/0!</v>
      </c>
      <c r="BE27" s="2">
        <v>239</v>
      </c>
      <c r="BF27" s="1" t="e">
        <f t="shared" si="23"/>
        <v>#DIV/0!</v>
      </c>
      <c r="BG27" s="2">
        <v>197</v>
      </c>
      <c r="BH27" s="1" t="e">
        <f t="shared" si="24"/>
        <v>#DIV/0!</v>
      </c>
      <c r="BI27" s="2">
        <v>205</v>
      </c>
      <c r="BJ27" s="1" t="e">
        <f t="shared" si="25"/>
        <v>#DIV/0!</v>
      </c>
      <c r="BK27" s="2">
        <v>146</v>
      </c>
      <c r="BL27" s="1" t="e">
        <f t="shared" si="26"/>
        <v>#DIV/0!</v>
      </c>
      <c r="BM27" s="2">
        <v>140</v>
      </c>
      <c r="BN27" s="1" t="e">
        <f t="shared" si="27"/>
        <v>#DIV/0!</v>
      </c>
      <c r="BO27" s="2">
        <v>128</v>
      </c>
      <c r="BP27" s="1" t="e">
        <f t="shared" si="28"/>
        <v>#DIV/0!</v>
      </c>
      <c r="BQ27" s="2">
        <v>126</v>
      </c>
      <c r="BR27" s="1" t="e">
        <f t="shared" si="29"/>
        <v>#DIV/0!</v>
      </c>
      <c r="BS27" s="2">
        <v>153</v>
      </c>
      <c r="BT27" s="1" t="e">
        <f t="shared" si="30"/>
        <v>#DIV/0!</v>
      </c>
      <c r="BU27" s="2">
        <v>178</v>
      </c>
      <c r="BV27" s="1" t="e">
        <f t="shared" si="31"/>
        <v>#DIV/0!</v>
      </c>
      <c r="BW27" s="1">
        <f t="shared" si="32"/>
        <v>0.7766497461928934</v>
      </c>
      <c r="BX27" s="1">
        <f t="shared" si="33"/>
        <v>0.86829268292682926</v>
      </c>
    </row>
    <row r="28" spans="1:76" ht="14.25" customHeight="1">
      <c r="A28" s="10" t="s">
        <v>119</v>
      </c>
      <c r="B28" s="8"/>
      <c r="C28" s="5" t="s">
        <v>81</v>
      </c>
      <c r="D28" s="5" t="s">
        <v>82</v>
      </c>
      <c r="E28" s="5" t="s">
        <v>85</v>
      </c>
      <c r="F28" s="11">
        <v>37076</v>
      </c>
      <c r="G28" s="2" t="s">
        <v>117</v>
      </c>
      <c r="H28" s="4">
        <v>24</v>
      </c>
      <c r="I28" s="1"/>
      <c r="J28" s="2">
        <v>175</v>
      </c>
      <c r="K28" s="1"/>
      <c r="L28" s="1"/>
      <c r="M28" s="7">
        <v>46199</v>
      </c>
      <c r="N28" s="1"/>
      <c r="O28" s="2">
        <v>43.3</v>
      </c>
      <c r="P28" s="2">
        <v>40.799999999999997</v>
      </c>
      <c r="Q28" s="2">
        <v>8.1</v>
      </c>
      <c r="R28" s="2">
        <v>7.3</v>
      </c>
      <c r="S28" s="2">
        <v>8.6999999999999993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19"/>
        <v>49.1</v>
      </c>
      <c r="Z28" s="1">
        <f t="shared" si="20"/>
        <v>46.9</v>
      </c>
      <c r="AA28" s="1">
        <f t="shared" si="21"/>
        <v>1.0469083155650321</v>
      </c>
      <c r="AB28" s="2">
        <v>20</v>
      </c>
      <c r="AC28" s="2">
        <v>16</v>
      </c>
      <c r="AD28" s="2">
        <v>11</v>
      </c>
      <c r="AE28" s="2">
        <v>11</v>
      </c>
      <c r="AF28" s="2">
        <v>35</v>
      </c>
      <c r="AG28" s="1"/>
      <c r="AH28" s="1" t="e">
        <f t="shared" si="34"/>
        <v>#DIV/0!</v>
      </c>
      <c r="AI28" s="1"/>
      <c r="AJ28" s="1" t="e">
        <f t="shared" si="35"/>
        <v>#DIV/0!</v>
      </c>
      <c r="AK28" s="1"/>
      <c r="AL28" s="1"/>
      <c r="AM28" s="2">
        <v>40</v>
      </c>
      <c r="AN28" s="2">
        <v>2097</v>
      </c>
      <c r="AO28" s="2">
        <v>16107</v>
      </c>
      <c r="AP28" s="2">
        <v>2.88</v>
      </c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2">
        <v>215</v>
      </c>
      <c r="BD28" s="1" t="e">
        <f t="shared" si="22"/>
        <v>#DIV/0!</v>
      </c>
      <c r="BE28" s="2">
        <v>245</v>
      </c>
      <c r="BF28" s="1" t="e">
        <f t="shared" si="23"/>
        <v>#DIV/0!</v>
      </c>
      <c r="BG28" s="2">
        <v>158</v>
      </c>
      <c r="BH28" s="1" t="e">
        <f t="shared" si="24"/>
        <v>#DIV/0!</v>
      </c>
      <c r="BI28" s="2">
        <v>181</v>
      </c>
      <c r="BJ28" s="1" t="e">
        <f t="shared" si="25"/>
        <v>#DIV/0!</v>
      </c>
      <c r="BK28" s="2">
        <v>156</v>
      </c>
      <c r="BL28" s="1" t="e">
        <f t="shared" si="26"/>
        <v>#DIV/0!</v>
      </c>
      <c r="BM28" s="2">
        <v>172</v>
      </c>
      <c r="BN28" s="1" t="e">
        <f t="shared" si="27"/>
        <v>#DIV/0!</v>
      </c>
      <c r="BO28" s="2">
        <v>163</v>
      </c>
      <c r="BP28" s="1" t="e">
        <f t="shared" si="28"/>
        <v>#DIV/0!</v>
      </c>
      <c r="BQ28" s="2">
        <v>139</v>
      </c>
      <c r="BR28" s="1" t="e">
        <f t="shared" si="29"/>
        <v>#DIV/0!</v>
      </c>
      <c r="BS28" s="2">
        <v>201</v>
      </c>
      <c r="BT28" s="1" t="e">
        <f t="shared" si="30"/>
        <v>#DIV/0!</v>
      </c>
      <c r="BU28" s="2">
        <v>208</v>
      </c>
      <c r="BV28" s="1" t="e">
        <f t="shared" si="31"/>
        <v>#DIV/0!</v>
      </c>
      <c r="BW28" s="1">
        <f t="shared" si="32"/>
        <v>1.2721518987341771</v>
      </c>
      <c r="BX28" s="1">
        <f t="shared" si="33"/>
        <v>1.149171270718232</v>
      </c>
    </row>
    <row r="29" spans="1:76" ht="14.25" customHeight="1">
      <c r="A29" s="4" t="s">
        <v>120</v>
      </c>
      <c r="B29" s="5"/>
      <c r="C29" s="8" t="s">
        <v>81</v>
      </c>
      <c r="D29" s="8" t="s">
        <v>82</v>
      </c>
      <c r="E29" s="8" t="s">
        <v>85</v>
      </c>
      <c r="F29" s="9">
        <v>35169</v>
      </c>
      <c r="G29" s="2" t="s">
        <v>117</v>
      </c>
      <c r="H29" s="10">
        <v>30</v>
      </c>
      <c r="I29" s="1"/>
      <c r="J29" s="2">
        <v>170.6</v>
      </c>
      <c r="K29" s="1"/>
      <c r="L29" s="1"/>
      <c r="M29" s="7">
        <v>46199</v>
      </c>
      <c r="N29" s="2">
        <v>1031</v>
      </c>
      <c r="O29" s="2">
        <v>17.3</v>
      </c>
      <c r="P29" s="2">
        <v>21.4</v>
      </c>
      <c r="Q29" s="2">
        <v>10.9</v>
      </c>
      <c r="R29" s="2">
        <v>8.6999999999999993</v>
      </c>
      <c r="S29" s="2">
        <v>9</v>
      </c>
      <c r="T29" s="2">
        <v>10.9</v>
      </c>
      <c r="U29" s="2">
        <v>17.899999999999999</v>
      </c>
      <c r="V29" s="2">
        <v>20.399999999999999</v>
      </c>
      <c r="W29" s="2">
        <v>25.1</v>
      </c>
      <c r="X29" s="2">
        <v>23.6</v>
      </c>
      <c r="Y29" s="1">
        <f t="shared" si="19"/>
        <v>38.299999999999997</v>
      </c>
      <c r="Z29" s="1">
        <f t="shared" si="20"/>
        <v>48.7</v>
      </c>
      <c r="AA29" s="1">
        <f t="shared" si="21"/>
        <v>0.78644763860369604</v>
      </c>
      <c r="AB29" s="2">
        <v>17</v>
      </c>
      <c r="AC29" s="2">
        <v>20</v>
      </c>
      <c r="AD29" s="2">
        <v>9</v>
      </c>
      <c r="AE29" s="2">
        <v>11</v>
      </c>
      <c r="AF29" s="2">
        <v>33.5</v>
      </c>
      <c r="AG29" s="1"/>
      <c r="AH29" s="1" t="e">
        <f t="shared" si="34"/>
        <v>#DIV/0!</v>
      </c>
      <c r="AI29" s="1"/>
      <c r="AJ29" s="1" t="e">
        <f t="shared" si="35"/>
        <v>#DIV/0!</v>
      </c>
      <c r="AK29" s="1"/>
      <c r="AL29" s="1"/>
      <c r="AM29" s="2">
        <v>32.4</v>
      </c>
      <c r="AN29" s="2">
        <v>1807</v>
      </c>
      <c r="AO29" s="2">
        <v>9103</v>
      </c>
      <c r="AP29" s="2">
        <v>2.15</v>
      </c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2">
        <v>230</v>
      </c>
      <c r="BD29" s="1" t="e">
        <f t="shared" si="22"/>
        <v>#DIV/0!</v>
      </c>
      <c r="BE29" s="2">
        <v>145</v>
      </c>
      <c r="BF29" s="1" t="e">
        <f t="shared" si="23"/>
        <v>#DIV/0!</v>
      </c>
      <c r="BG29" s="2">
        <v>149</v>
      </c>
      <c r="BH29" s="1" t="e">
        <f t="shared" si="24"/>
        <v>#DIV/0!</v>
      </c>
      <c r="BI29" s="2">
        <v>131</v>
      </c>
      <c r="BJ29" s="1" t="e">
        <f t="shared" si="25"/>
        <v>#DIV/0!</v>
      </c>
      <c r="BK29" s="2">
        <v>108</v>
      </c>
      <c r="BL29" s="1" t="e">
        <f t="shared" si="26"/>
        <v>#DIV/0!</v>
      </c>
      <c r="BM29" s="2">
        <v>125</v>
      </c>
      <c r="BN29" s="1" t="e">
        <f t="shared" si="27"/>
        <v>#DIV/0!</v>
      </c>
      <c r="BO29" s="2">
        <v>84</v>
      </c>
      <c r="BP29" s="1" t="e">
        <f t="shared" si="28"/>
        <v>#DIV/0!</v>
      </c>
      <c r="BQ29" s="2">
        <v>125</v>
      </c>
      <c r="BR29" s="1" t="e">
        <f t="shared" si="29"/>
        <v>#DIV/0!</v>
      </c>
      <c r="BS29" s="2">
        <v>121</v>
      </c>
      <c r="BT29" s="1" t="e">
        <f t="shared" si="30"/>
        <v>#DIV/0!</v>
      </c>
      <c r="BU29" s="2">
        <v>123</v>
      </c>
      <c r="BV29" s="1" t="e">
        <f t="shared" si="31"/>
        <v>#DIV/0!</v>
      </c>
      <c r="BW29" s="1">
        <f t="shared" si="32"/>
        <v>0.81208053691275173</v>
      </c>
      <c r="BX29" s="1">
        <f t="shared" si="33"/>
        <v>0.93893129770992367</v>
      </c>
    </row>
    <row r="30" spans="1:76" ht="14.25" customHeight="1">
      <c r="A30" s="10" t="s">
        <v>121</v>
      </c>
      <c r="B30" s="8"/>
      <c r="C30" s="5" t="s">
        <v>81</v>
      </c>
      <c r="D30" s="5" t="s">
        <v>82</v>
      </c>
      <c r="E30" s="5" t="s">
        <v>83</v>
      </c>
      <c r="F30" s="11">
        <v>36725</v>
      </c>
      <c r="G30" s="2" t="s">
        <v>117</v>
      </c>
      <c r="H30" s="4">
        <v>25</v>
      </c>
      <c r="I30" s="1"/>
      <c r="J30" s="2">
        <v>191.2</v>
      </c>
      <c r="K30" s="1"/>
      <c r="L30" s="1"/>
      <c r="M30" s="7">
        <v>46199</v>
      </c>
      <c r="N30" s="2">
        <v>1452</v>
      </c>
      <c r="O30" s="2">
        <v>35.799999999999997</v>
      </c>
      <c r="P30" s="2">
        <v>37.1</v>
      </c>
      <c r="Q30" s="2">
        <v>9.1</v>
      </c>
      <c r="R30" s="2">
        <v>11.6</v>
      </c>
      <c r="S30" s="2">
        <v>8.5</v>
      </c>
      <c r="T30" s="2">
        <v>12</v>
      </c>
      <c r="U30" s="2">
        <v>22.8</v>
      </c>
      <c r="V30" s="2">
        <v>23</v>
      </c>
      <c r="W30" s="2">
        <v>26.8</v>
      </c>
      <c r="X30" s="2">
        <v>27.2</v>
      </c>
      <c r="Y30" s="1">
        <f t="shared" si="19"/>
        <v>45.8</v>
      </c>
      <c r="Z30" s="1">
        <f t="shared" si="20"/>
        <v>54</v>
      </c>
      <c r="AA30" s="1">
        <f t="shared" si="21"/>
        <v>0.8481481481481481</v>
      </c>
      <c r="AB30" s="2">
        <v>15</v>
      </c>
      <c r="AC30" s="2">
        <v>14</v>
      </c>
      <c r="AD30" s="2">
        <v>10</v>
      </c>
      <c r="AE30" s="2">
        <v>8</v>
      </c>
      <c r="AF30" s="2">
        <v>13.6</v>
      </c>
      <c r="AG30" s="1"/>
      <c r="AH30" s="1" t="e">
        <f t="shared" si="34"/>
        <v>#DIV/0!</v>
      </c>
      <c r="AI30" s="1"/>
      <c r="AJ30" s="1" t="e">
        <f t="shared" si="35"/>
        <v>#DIV/0!</v>
      </c>
      <c r="AK30" s="1"/>
      <c r="AL30" s="1"/>
      <c r="AM30" s="2">
        <v>49.3</v>
      </c>
      <c r="AN30" s="2">
        <v>2017</v>
      </c>
      <c r="AO30" s="2">
        <v>16054</v>
      </c>
      <c r="AP30" s="2">
        <v>2.61</v>
      </c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2">
        <v>236</v>
      </c>
      <c r="BD30" s="1" t="e">
        <f t="shared" si="22"/>
        <v>#DIV/0!</v>
      </c>
      <c r="BE30" s="2">
        <v>216</v>
      </c>
      <c r="BF30" s="1" t="e">
        <f t="shared" si="23"/>
        <v>#DIV/0!</v>
      </c>
      <c r="BG30" s="2">
        <v>186</v>
      </c>
      <c r="BH30" s="1" t="e">
        <f t="shared" si="24"/>
        <v>#DIV/0!</v>
      </c>
      <c r="BI30" s="2">
        <v>199</v>
      </c>
      <c r="BJ30" s="1" t="e">
        <f t="shared" si="25"/>
        <v>#DIV/0!</v>
      </c>
      <c r="BK30" s="2">
        <v>158</v>
      </c>
      <c r="BL30" s="1" t="e">
        <f t="shared" si="26"/>
        <v>#DIV/0!</v>
      </c>
      <c r="BM30" s="2">
        <v>186</v>
      </c>
      <c r="BN30" s="1" t="e">
        <f t="shared" si="27"/>
        <v>#DIV/0!</v>
      </c>
      <c r="BO30" s="2">
        <v>170</v>
      </c>
      <c r="BP30" s="1" t="e">
        <f t="shared" si="28"/>
        <v>#DIV/0!</v>
      </c>
      <c r="BQ30" s="2">
        <v>178</v>
      </c>
      <c r="BR30" s="1" t="e">
        <f t="shared" si="29"/>
        <v>#DIV/0!</v>
      </c>
      <c r="BS30" s="2">
        <v>188</v>
      </c>
      <c r="BT30" s="1" t="e">
        <f t="shared" si="30"/>
        <v>#DIV/0!</v>
      </c>
      <c r="BU30" s="2">
        <v>232</v>
      </c>
      <c r="BV30" s="1" t="e">
        <f t="shared" si="31"/>
        <v>#DIV/0!</v>
      </c>
      <c r="BW30" s="1">
        <f t="shared" si="32"/>
        <v>1.010752688172043</v>
      </c>
      <c r="BX30" s="1">
        <f t="shared" si="33"/>
        <v>1.1658291457286432</v>
      </c>
    </row>
    <row r="31" spans="1:76" ht="14.25" customHeight="1">
      <c r="A31" s="4" t="s">
        <v>122</v>
      </c>
      <c r="B31" s="5"/>
      <c r="C31" s="8" t="s">
        <v>81</v>
      </c>
      <c r="D31" s="8" t="s">
        <v>82</v>
      </c>
      <c r="E31" s="8" t="s">
        <v>83</v>
      </c>
      <c r="F31" s="14">
        <v>38702</v>
      </c>
      <c r="G31" s="2" t="s">
        <v>117</v>
      </c>
      <c r="H31" s="15">
        <v>20</v>
      </c>
      <c r="I31" s="1"/>
      <c r="J31" s="2">
        <v>186.2</v>
      </c>
      <c r="K31" s="1"/>
      <c r="L31" s="1"/>
      <c r="M31" s="7">
        <v>46199</v>
      </c>
      <c r="N31" s="2">
        <v>1391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</v>
      </c>
      <c r="W31" s="2">
        <v>19.8</v>
      </c>
      <c r="X31" s="2">
        <v>19.399999999999999</v>
      </c>
      <c r="Y31" s="1">
        <f t="shared" si="19"/>
        <v>46.9</v>
      </c>
      <c r="Z31" s="1">
        <f t="shared" si="20"/>
        <v>39.200000000000003</v>
      </c>
      <c r="AA31" s="1">
        <f t="shared" si="21"/>
        <v>1.1964285714285714</v>
      </c>
      <c r="AB31" s="2">
        <v>18</v>
      </c>
      <c r="AC31" s="2">
        <v>22</v>
      </c>
      <c r="AD31" s="2">
        <v>17</v>
      </c>
      <c r="AE31" s="2">
        <v>13</v>
      </c>
      <c r="AF31" s="2">
        <v>29.5</v>
      </c>
      <c r="AG31" s="1"/>
      <c r="AH31" s="1" t="e">
        <f t="shared" si="34"/>
        <v>#DIV/0!</v>
      </c>
      <c r="AI31" s="1"/>
      <c r="AJ31" s="1" t="e">
        <f t="shared" si="35"/>
        <v>#DIV/0!</v>
      </c>
      <c r="AK31" s="1"/>
      <c r="AL31" s="1"/>
      <c r="AM31" s="2">
        <v>40.200000000000003</v>
      </c>
      <c r="AN31" s="2">
        <v>1890</v>
      </c>
      <c r="AO31" s="2">
        <v>7452</v>
      </c>
      <c r="AP31" s="2">
        <v>1.96</v>
      </c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2">
        <v>271</v>
      </c>
      <c r="BD31" s="1" t="e">
        <f t="shared" si="22"/>
        <v>#DIV/0!</v>
      </c>
      <c r="BE31" s="2">
        <v>258</v>
      </c>
      <c r="BF31" s="1" t="e">
        <f t="shared" si="23"/>
        <v>#DIV/0!</v>
      </c>
      <c r="BG31" s="2">
        <v>180</v>
      </c>
      <c r="BH31" s="1" t="e">
        <f t="shared" si="24"/>
        <v>#DIV/0!</v>
      </c>
      <c r="BI31" s="2">
        <v>180</v>
      </c>
      <c r="BJ31" s="1" t="e">
        <f t="shared" si="25"/>
        <v>#DIV/0!</v>
      </c>
      <c r="BK31" s="2">
        <v>133</v>
      </c>
      <c r="BL31" s="1" t="e">
        <f t="shared" si="26"/>
        <v>#DIV/0!</v>
      </c>
      <c r="BM31" s="2">
        <v>124</v>
      </c>
      <c r="BN31" s="1" t="e">
        <f t="shared" si="27"/>
        <v>#DIV/0!</v>
      </c>
      <c r="BO31" s="2">
        <v>108</v>
      </c>
      <c r="BP31" s="1" t="e">
        <f t="shared" si="28"/>
        <v>#DIV/0!</v>
      </c>
      <c r="BQ31" s="2">
        <v>124</v>
      </c>
      <c r="BR31" s="1" t="e">
        <f t="shared" si="29"/>
        <v>#DIV/0!</v>
      </c>
      <c r="BS31" s="2">
        <v>200</v>
      </c>
      <c r="BT31" s="1" t="e">
        <f t="shared" si="30"/>
        <v>#DIV/0!</v>
      </c>
      <c r="BU31" s="2">
        <v>181</v>
      </c>
      <c r="BV31" s="1" t="e">
        <f t="shared" si="31"/>
        <v>#DIV/0!</v>
      </c>
      <c r="BW31" s="1">
        <f t="shared" si="32"/>
        <v>1.1111111111111112</v>
      </c>
      <c r="BX31" s="1">
        <f t="shared" si="33"/>
        <v>1.0055555555555555</v>
      </c>
    </row>
    <row r="32" spans="1:76" ht="14.25" customHeight="1">
      <c r="A32" s="16" t="s">
        <v>123</v>
      </c>
      <c r="B32" s="2"/>
      <c r="C32" s="2"/>
      <c r="D32" s="2"/>
      <c r="E32" s="2"/>
      <c r="F32" s="7">
        <v>39161</v>
      </c>
      <c r="G32" s="2" t="s">
        <v>117</v>
      </c>
      <c r="H32" s="1"/>
      <c r="I32" s="1"/>
      <c r="J32" s="2">
        <v>192.8</v>
      </c>
      <c r="K32" s="1"/>
      <c r="L32" s="1"/>
      <c r="M32" s="7">
        <v>46199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10.199999999999999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19"/>
        <v>56</v>
      </c>
      <c r="Z32" s="1">
        <f t="shared" si="20"/>
        <v>31.8</v>
      </c>
      <c r="AA32" s="1">
        <f t="shared" si="21"/>
        <v>1.7610062893081762</v>
      </c>
      <c r="AB32" s="2">
        <v>14</v>
      </c>
      <c r="AC32" s="2">
        <v>17</v>
      </c>
      <c r="AD32" s="2">
        <v>7</v>
      </c>
      <c r="AE32" s="2">
        <v>7</v>
      </c>
      <c r="AF32" s="2">
        <v>24</v>
      </c>
      <c r="AG32" s="1"/>
      <c r="AH32" s="1" t="e">
        <f t="shared" si="34"/>
        <v>#DIV/0!</v>
      </c>
      <c r="AI32" s="1"/>
      <c r="AJ32" s="1" t="e">
        <f t="shared" si="35"/>
        <v>#DIV/0!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2">
        <v>249.9</v>
      </c>
      <c r="BD32" s="1" t="e">
        <f t="shared" si="22"/>
        <v>#DIV/0!</v>
      </c>
      <c r="BE32" s="2">
        <v>246.4</v>
      </c>
      <c r="BF32" s="1" t="e">
        <f t="shared" si="23"/>
        <v>#DIV/0!</v>
      </c>
      <c r="BG32" s="2">
        <v>175</v>
      </c>
      <c r="BH32" s="1" t="e">
        <f t="shared" si="24"/>
        <v>#DIV/0!</v>
      </c>
      <c r="BI32" s="2">
        <v>186</v>
      </c>
      <c r="BJ32" s="1" t="e">
        <f t="shared" si="25"/>
        <v>#DIV/0!</v>
      </c>
      <c r="BK32" s="2">
        <v>137.1</v>
      </c>
      <c r="BL32" s="1" t="e">
        <f t="shared" si="26"/>
        <v>#DIV/0!</v>
      </c>
      <c r="BM32" s="2">
        <v>125</v>
      </c>
      <c r="BN32" s="1" t="e">
        <f t="shared" si="27"/>
        <v>#DIV/0!</v>
      </c>
      <c r="BO32" s="2">
        <v>143</v>
      </c>
      <c r="BP32" s="1" t="e">
        <f t="shared" si="28"/>
        <v>#DIV/0!</v>
      </c>
      <c r="BQ32" s="2">
        <v>87</v>
      </c>
      <c r="BR32" s="1" t="e">
        <f t="shared" si="29"/>
        <v>#DIV/0!</v>
      </c>
      <c r="BS32" s="2">
        <v>168</v>
      </c>
      <c r="BT32" s="1" t="e">
        <f t="shared" si="30"/>
        <v>#DIV/0!</v>
      </c>
      <c r="BU32" s="2">
        <v>164</v>
      </c>
      <c r="BV32" s="1" t="e">
        <f t="shared" si="31"/>
        <v>#DIV/0!</v>
      </c>
      <c r="BW32" s="1">
        <f t="shared" si="32"/>
        <v>0.96</v>
      </c>
      <c r="BX32" s="1">
        <f t="shared" si="33"/>
        <v>0.88172043010752688</v>
      </c>
    </row>
    <row r="33" spans="1:76" ht="14.25" customHeight="1">
      <c r="A33" s="16" t="s">
        <v>124</v>
      </c>
      <c r="B33" s="2"/>
      <c r="C33" s="2"/>
      <c r="D33" s="2"/>
      <c r="E33" s="2"/>
      <c r="F33" s="7">
        <v>38689</v>
      </c>
      <c r="G33" s="2" t="s">
        <v>117</v>
      </c>
      <c r="H33" s="1"/>
      <c r="I33" s="1"/>
      <c r="J33" s="1"/>
      <c r="K33" s="1"/>
      <c r="L33" s="1"/>
      <c r="M33" s="7">
        <v>46199</v>
      </c>
      <c r="N33" s="2">
        <v>1280</v>
      </c>
      <c r="O33" s="2">
        <v>32.9</v>
      </c>
      <c r="P33" s="2">
        <v>32.700000000000003</v>
      </c>
      <c r="Q33" s="2">
        <v>14</v>
      </c>
      <c r="R33" s="2">
        <v>15.8</v>
      </c>
      <c r="S33" s="2">
        <v>11.8</v>
      </c>
      <c r="T33" s="2">
        <v>14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19"/>
        <v>53.8</v>
      </c>
      <c r="Z33" s="1">
        <f t="shared" si="20"/>
        <v>47.7</v>
      </c>
      <c r="AA33" s="1">
        <f t="shared" si="21"/>
        <v>1.1278825995807127</v>
      </c>
      <c r="AB33" s="2">
        <v>13</v>
      </c>
      <c r="AC33" s="2">
        <v>17</v>
      </c>
      <c r="AD33" s="2">
        <v>17</v>
      </c>
      <c r="AE33" s="2">
        <v>16</v>
      </c>
      <c r="AF33" s="2">
        <v>18</v>
      </c>
      <c r="AG33" s="2">
        <v>193</v>
      </c>
      <c r="AH33" s="1" t="e">
        <f t="shared" si="34"/>
        <v>#DIV/0!</v>
      </c>
      <c r="AI33" s="1"/>
      <c r="AJ33" s="1" t="e">
        <f t="shared" si="35"/>
        <v>#DIV/0!</v>
      </c>
      <c r="AK33" s="1"/>
      <c r="AL33" s="1"/>
      <c r="AM33" s="2">
        <v>34.299999999999997</v>
      </c>
      <c r="AN33" s="2">
        <v>2026</v>
      </c>
      <c r="AO33" s="2">
        <v>20384</v>
      </c>
      <c r="AP33" s="2">
        <v>2.25</v>
      </c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2">
        <v>274</v>
      </c>
      <c r="BD33" s="1" t="e">
        <f t="shared" si="22"/>
        <v>#DIV/0!</v>
      </c>
      <c r="BE33" s="2">
        <v>276</v>
      </c>
      <c r="BF33" s="1" t="e">
        <f t="shared" si="23"/>
        <v>#DIV/0!</v>
      </c>
      <c r="BG33" s="2">
        <v>185</v>
      </c>
      <c r="BH33" s="1" t="e">
        <f t="shared" si="24"/>
        <v>#DIV/0!</v>
      </c>
      <c r="BI33" s="2">
        <v>167</v>
      </c>
      <c r="BJ33" s="1" t="e">
        <f t="shared" si="25"/>
        <v>#DIV/0!</v>
      </c>
      <c r="BK33" s="2">
        <v>162</v>
      </c>
      <c r="BL33" s="1" t="e">
        <f t="shared" si="26"/>
        <v>#DIV/0!</v>
      </c>
      <c r="BM33" s="2">
        <v>180</v>
      </c>
      <c r="BN33" s="1" t="e">
        <f t="shared" si="27"/>
        <v>#DIV/0!</v>
      </c>
      <c r="BO33" s="2">
        <v>150</v>
      </c>
      <c r="BP33" s="1" t="e">
        <f t="shared" si="28"/>
        <v>#DIV/0!</v>
      </c>
      <c r="BQ33" s="2">
        <v>186</v>
      </c>
      <c r="BR33" s="1" t="e">
        <f t="shared" si="29"/>
        <v>#DIV/0!</v>
      </c>
      <c r="BS33" s="2">
        <v>184</v>
      </c>
      <c r="BT33" s="1" t="e">
        <f t="shared" si="30"/>
        <v>#DIV/0!</v>
      </c>
      <c r="BU33" s="2">
        <v>247</v>
      </c>
      <c r="BV33" s="1" t="e">
        <f t="shared" si="31"/>
        <v>#DIV/0!</v>
      </c>
      <c r="BW33" s="1">
        <f t="shared" si="32"/>
        <v>0.99459459459459465</v>
      </c>
      <c r="BX33" s="1">
        <f t="shared" si="33"/>
        <v>1.4790419161676647</v>
      </c>
    </row>
    <row r="34" spans="1:76" ht="14.25" customHeight="1">
      <c r="A34" s="16" t="s">
        <v>125</v>
      </c>
      <c r="B34" s="2"/>
      <c r="C34" s="2"/>
      <c r="D34" s="2"/>
      <c r="E34" s="2"/>
      <c r="F34" s="17">
        <v>39013</v>
      </c>
      <c r="G34" s="2" t="s">
        <v>117</v>
      </c>
      <c r="H34" s="2">
        <v>19</v>
      </c>
      <c r="I34" s="1"/>
      <c r="J34" s="2">
        <v>188.4</v>
      </c>
      <c r="K34" s="1"/>
      <c r="L34" s="1"/>
      <c r="M34" s="7">
        <v>46199</v>
      </c>
      <c r="N34" s="2">
        <v>1282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19"/>
        <v>61.9</v>
      </c>
      <c r="Z34" s="1">
        <f t="shared" si="20"/>
        <v>49.6</v>
      </c>
      <c r="AA34" s="1">
        <f t="shared" si="21"/>
        <v>1.2479838709677418</v>
      </c>
      <c r="AB34" s="2">
        <v>14</v>
      </c>
      <c r="AC34" s="2">
        <v>17</v>
      </c>
      <c r="AD34" s="2">
        <v>11</v>
      </c>
      <c r="AE34" s="2">
        <v>11.5</v>
      </c>
      <c r="AF34" s="2">
        <v>24</v>
      </c>
      <c r="AG34" s="1"/>
      <c r="AH34" s="1" t="e">
        <f t="shared" si="34"/>
        <v>#DIV/0!</v>
      </c>
      <c r="AI34" s="1"/>
      <c r="AJ34" s="1" t="e">
        <f t="shared" si="35"/>
        <v>#DIV/0!</v>
      </c>
      <c r="AK34" s="1"/>
      <c r="AL34" s="1"/>
      <c r="AM34" s="2">
        <v>34.4</v>
      </c>
      <c r="AN34" s="2">
        <v>1946.5</v>
      </c>
      <c r="AO34" s="2">
        <v>14319</v>
      </c>
      <c r="AP34" s="2">
        <v>2.81</v>
      </c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2">
        <v>245</v>
      </c>
      <c r="BD34" s="1" t="e">
        <f t="shared" si="22"/>
        <v>#DIV/0!</v>
      </c>
      <c r="BE34" s="2">
        <v>225</v>
      </c>
      <c r="BF34" s="1" t="e">
        <f t="shared" si="23"/>
        <v>#DIV/0!</v>
      </c>
      <c r="BG34" s="2">
        <v>151</v>
      </c>
      <c r="BH34" s="1" t="e">
        <f t="shared" si="24"/>
        <v>#DIV/0!</v>
      </c>
      <c r="BI34" s="2">
        <v>148</v>
      </c>
      <c r="BJ34" s="1" t="e">
        <f t="shared" si="25"/>
        <v>#DIV/0!</v>
      </c>
      <c r="BK34" s="2">
        <v>125</v>
      </c>
      <c r="BL34" s="1" t="e">
        <f t="shared" si="26"/>
        <v>#DIV/0!</v>
      </c>
      <c r="BM34" s="2">
        <v>142</v>
      </c>
      <c r="BN34" s="1" t="e">
        <f t="shared" si="27"/>
        <v>#DIV/0!</v>
      </c>
      <c r="BO34" s="2">
        <v>169</v>
      </c>
      <c r="BP34" s="1" t="e">
        <f t="shared" si="28"/>
        <v>#DIV/0!</v>
      </c>
      <c r="BQ34" s="2">
        <v>179</v>
      </c>
      <c r="BR34" s="1" t="e">
        <f t="shared" si="29"/>
        <v>#DIV/0!</v>
      </c>
      <c r="BS34" s="1"/>
      <c r="BT34" s="1" t="e">
        <f t="shared" si="30"/>
        <v>#DIV/0!</v>
      </c>
      <c r="BU34" s="1"/>
      <c r="BV34" s="1" t="e">
        <f t="shared" si="31"/>
        <v>#DIV/0!</v>
      </c>
      <c r="BW34" s="1">
        <f t="shared" si="32"/>
        <v>0</v>
      </c>
      <c r="BX34" s="1">
        <f t="shared" si="33"/>
        <v>0</v>
      </c>
    </row>
    <row r="35" spans="1:76" ht="14.25" customHeight="1">
      <c r="A35" s="18" t="s">
        <v>126</v>
      </c>
      <c r="B35" s="2"/>
      <c r="C35" s="2"/>
      <c r="D35" s="2"/>
      <c r="E35" s="2"/>
      <c r="F35" s="17">
        <v>37600</v>
      </c>
      <c r="G35" s="2" t="s">
        <v>117</v>
      </c>
      <c r="H35" s="1"/>
      <c r="I35" s="1"/>
      <c r="J35" s="2">
        <v>190.5</v>
      </c>
      <c r="K35" s="1"/>
      <c r="L35" s="1"/>
      <c r="M35" s="7">
        <v>46199</v>
      </c>
      <c r="N35" s="2">
        <v>1351</v>
      </c>
      <c r="O35" s="2">
        <v>44.8</v>
      </c>
      <c r="P35" s="2">
        <v>42.6</v>
      </c>
      <c r="Q35" s="2">
        <v>11</v>
      </c>
      <c r="R35" s="2">
        <v>9.6</v>
      </c>
      <c r="S35" s="2">
        <v>13.5</v>
      </c>
      <c r="T35" s="2">
        <v>12.3</v>
      </c>
      <c r="U35" s="2">
        <v>22.2</v>
      </c>
      <c r="V35" s="2">
        <v>21</v>
      </c>
      <c r="W35" s="2">
        <v>24.6</v>
      </c>
      <c r="X35" s="2">
        <v>26.6</v>
      </c>
      <c r="Y35" s="1">
        <f t="shared" si="19"/>
        <v>43.2</v>
      </c>
      <c r="Z35" s="1">
        <f t="shared" si="20"/>
        <v>51.2</v>
      </c>
      <c r="AA35" s="1">
        <f t="shared" si="21"/>
        <v>0.84375</v>
      </c>
      <c r="AB35" s="2">
        <v>16</v>
      </c>
      <c r="AC35" s="2">
        <v>20</v>
      </c>
      <c r="AD35" s="2">
        <v>6</v>
      </c>
      <c r="AE35" s="2">
        <v>5</v>
      </c>
      <c r="AF35" s="2">
        <v>2</v>
      </c>
      <c r="AG35" s="1"/>
      <c r="AH35" s="1" t="e">
        <f t="shared" si="34"/>
        <v>#DIV/0!</v>
      </c>
      <c r="AI35" s="1"/>
      <c r="AJ35" s="1" t="e">
        <f t="shared" si="35"/>
        <v>#DIV/0!</v>
      </c>
      <c r="AK35" s="1"/>
      <c r="AL35" s="1"/>
      <c r="AM35" s="2">
        <v>39.5</v>
      </c>
      <c r="AN35" s="2">
        <v>2576</v>
      </c>
      <c r="AO35" s="2">
        <v>20548</v>
      </c>
      <c r="AP35" s="2">
        <v>3.03</v>
      </c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2">
        <v>290</v>
      </c>
      <c r="BD35" s="1" t="e">
        <f t="shared" si="22"/>
        <v>#DIV/0!</v>
      </c>
      <c r="BE35" s="2">
        <v>209</v>
      </c>
      <c r="BF35" s="1" t="e">
        <f t="shared" si="23"/>
        <v>#DIV/0!</v>
      </c>
      <c r="BG35" s="2">
        <v>228</v>
      </c>
      <c r="BH35" s="1" t="e">
        <f t="shared" si="24"/>
        <v>#DIV/0!</v>
      </c>
      <c r="BI35" s="2">
        <v>206</v>
      </c>
      <c r="BJ35" s="1" t="e">
        <f t="shared" si="25"/>
        <v>#DIV/0!</v>
      </c>
      <c r="BK35" s="2">
        <v>143</v>
      </c>
      <c r="BL35" s="1" t="e">
        <f t="shared" si="26"/>
        <v>#DIV/0!</v>
      </c>
      <c r="BM35" s="2">
        <v>142</v>
      </c>
      <c r="BN35" s="1" t="e">
        <f t="shared" si="27"/>
        <v>#DIV/0!</v>
      </c>
      <c r="BO35" s="2">
        <v>208</v>
      </c>
      <c r="BP35" s="1" t="e">
        <f t="shared" si="28"/>
        <v>#DIV/0!</v>
      </c>
      <c r="BQ35" s="2">
        <v>143</v>
      </c>
      <c r="BR35" s="1" t="e">
        <f t="shared" si="29"/>
        <v>#DIV/0!</v>
      </c>
      <c r="BS35" s="2">
        <v>186</v>
      </c>
      <c r="BT35" s="1" t="e">
        <f t="shared" si="30"/>
        <v>#DIV/0!</v>
      </c>
      <c r="BU35" s="2">
        <v>171</v>
      </c>
      <c r="BV35" s="1" t="e">
        <f t="shared" si="31"/>
        <v>#DIV/0!</v>
      </c>
      <c r="BW35" s="1">
        <f t="shared" si="32"/>
        <v>0.81578947368421051</v>
      </c>
      <c r="BX35" s="1">
        <f t="shared" si="33"/>
        <v>0.83009708737864074</v>
      </c>
    </row>
    <row r="36" spans="1:76" ht="14.25" customHeight="1">
      <c r="A36" s="19" t="s">
        <v>127</v>
      </c>
      <c r="B36" s="2"/>
      <c r="C36" s="2"/>
      <c r="D36" s="2"/>
      <c r="E36" s="2"/>
      <c r="F36" s="2"/>
      <c r="G36" s="2" t="s">
        <v>117</v>
      </c>
      <c r="H36" s="1"/>
      <c r="I36" s="1"/>
      <c r="J36" s="2">
        <v>186.5</v>
      </c>
      <c r="K36" s="1"/>
      <c r="L36" s="1"/>
      <c r="M36" s="7">
        <v>46199</v>
      </c>
      <c r="N36" s="2">
        <v>1216</v>
      </c>
      <c r="O36" s="2">
        <v>40.1</v>
      </c>
      <c r="P36" s="2">
        <v>41.9</v>
      </c>
      <c r="Q36" s="2">
        <v>9.1999999999999993</v>
      </c>
      <c r="R36" s="2">
        <v>11.6</v>
      </c>
      <c r="S36" s="2">
        <v>14.8</v>
      </c>
      <c r="T36" s="2">
        <v>13.1</v>
      </c>
      <c r="U36" s="2"/>
      <c r="V36" s="1"/>
      <c r="W36" s="2">
        <v>20</v>
      </c>
      <c r="X36" s="2">
        <v>21</v>
      </c>
      <c r="Y36" s="1">
        <f t="shared" si="19"/>
        <v>0</v>
      </c>
      <c r="Z36" s="1">
        <f t="shared" si="20"/>
        <v>41</v>
      </c>
      <c r="AA36" s="1">
        <f t="shared" si="21"/>
        <v>0</v>
      </c>
      <c r="AB36" s="2">
        <v>16</v>
      </c>
      <c r="AC36" s="2">
        <v>16</v>
      </c>
      <c r="AD36" s="2">
        <v>10</v>
      </c>
      <c r="AE36" s="2">
        <v>9</v>
      </c>
      <c r="AF36" s="2">
        <v>18</v>
      </c>
      <c r="AG36" s="1"/>
      <c r="AH36" s="1" t="e">
        <f t="shared" si="34"/>
        <v>#DIV/0!</v>
      </c>
      <c r="AI36" s="1"/>
      <c r="AJ36" s="1" t="e">
        <f t="shared" si="35"/>
        <v>#DIV/0!</v>
      </c>
      <c r="AK36" s="1"/>
      <c r="AL36" s="1"/>
      <c r="AM36" s="2">
        <v>38.6</v>
      </c>
      <c r="AN36" s="2">
        <v>2056</v>
      </c>
      <c r="AO36" s="2">
        <v>10880</v>
      </c>
      <c r="AP36" s="2">
        <v>2.78</v>
      </c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2">
        <v>339</v>
      </c>
      <c r="BD36" s="1" t="e">
        <f t="shared" si="22"/>
        <v>#DIV/0!</v>
      </c>
      <c r="BE36" s="2">
        <v>316</v>
      </c>
      <c r="BF36" s="1" t="e">
        <f t="shared" si="23"/>
        <v>#DIV/0!</v>
      </c>
      <c r="BG36" s="2">
        <v>203</v>
      </c>
      <c r="BH36" s="1" t="e">
        <f t="shared" si="24"/>
        <v>#DIV/0!</v>
      </c>
      <c r="BI36" s="2">
        <v>195</v>
      </c>
      <c r="BJ36" s="1" t="e">
        <f t="shared" si="25"/>
        <v>#DIV/0!</v>
      </c>
      <c r="BK36" s="2">
        <v>184</v>
      </c>
      <c r="BL36" s="1" t="e">
        <f t="shared" si="26"/>
        <v>#DIV/0!</v>
      </c>
      <c r="BM36" s="2">
        <v>143</v>
      </c>
      <c r="BN36" s="1" t="e">
        <f t="shared" si="27"/>
        <v>#DIV/0!</v>
      </c>
      <c r="BO36" s="2">
        <v>127</v>
      </c>
      <c r="BP36" s="1" t="e">
        <f t="shared" si="28"/>
        <v>#DIV/0!</v>
      </c>
      <c r="BQ36" s="2">
        <v>131</v>
      </c>
      <c r="BR36" s="1" t="e">
        <f t="shared" si="29"/>
        <v>#DIV/0!</v>
      </c>
      <c r="BS36" s="2">
        <v>198</v>
      </c>
      <c r="BT36" s="1" t="e">
        <f t="shared" si="30"/>
        <v>#DIV/0!</v>
      </c>
      <c r="BU36" s="2">
        <v>206</v>
      </c>
      <c r="BV36" s="1" t="e">
        <f t="shared" si="31"/>
        <v>#DIV/0!</v>
      </c>
      <c r="BW36" s="1">
        <f t="shared" si="32"/>
        <v>0.97536945812807885</v>
      </c>
      <c r="BX36" s="1">
        <f t="shared" si="33"/>
        <v>1.0564102564102564</v>
      </c>
    </row>
    <row r="37" spans="1:76" ht="14.25" customHeight="1">
      <c r="A37" s="18" t="s">
        <v>128</v>
      </c>
      <c r="B37" s="2"/>
      <c r="C37" s="2"/>
      <c r="D37" s="2"/>
      <c r="E37" s="2"/>
      <c r="F37" s="2"/>
      <c r="G37" s="2" t="s">
        <v>117</v>
      </c>
      <c r="H37" s="1"/>
      <c r="I37" s="1"/>
      <c r="J37" s="2">
        <v>180.3</v>
      </c>
      <c r="K37" s="1"/>
      <c r="L37" s="20"/>
      <c r="M37" s="7">
        <v>46199</v>
      </c>
      <c r="N37" s="2">
        <v>943</v>
      </c>
      <c r="O37" s="2">
        <v>37</v>
      </c>
      <c r="P37" s="2">
        <v>34.6</v>
      </c>
      <c r="Q37" s="2">
        <v>11.5</v>
      </c>
      <c r="R37" s="2">
        <v>11.6</v>
      </c>
      <c r="S37" s="2">
        <v>7.6</v>
      </c>
      <c r="T37" s="2">
        <v>9.8000000000000007</v>
      </c>
      <c r="U37" s="2">
        <v>19.100000000000001</v>
      </c>
      <c r="V37" s="2">
        <v>20</v>
      </c>
      <c r="W37" s="2">
        <v>13.2</v>
      </c>
      <c r="X37" s="2">
        <v>15.9</v>
      </c>
      <c r="Y37" s="1">
        <f t="shared" si="19"/>
        <v>39.1</v>
      </c>
      <c r="Z37" s="1">
        <f t="shared" si="20"/>
        <v>29.1</v>
      </c>
      <c r="AA37" s="1">
        <f t="shared" si="21"/>
        <v>1.3436426116838487</v>
      </c>
      <c r="AB37" s="2">
        <v>24</v>
      </c>
      <c r="AC37" s="2">
        <v>19</v>
      </c>
      <c r="AD37" s="2">
        <v>18</v>
      </c>
      <c r="AE37" s="2">
        <v>17</v>
      </c>
      <c r="AF37" s="2">
        <v>42.5</v>
      </c>
      <c r="AG37" s="1"/>
      <c r="AH37" s="1" t="e">
        <f t="shared" si="34"/>
        <v>#DIV/0!</v>
      </c>
      <c r="AI37" s="1"/>
      <c r="AJ37" s="1" t="e">
        <f t="shared" si="35"/>
        <v>#DIV/0!</v>
      </c>
      <c r="AK37" s="1"/>
      <c r="AL37" s="1"/>
      <c r="AM37" s="2">
        <v>33.200000000000003</v>
      </c>
      <c r="AN37" s="2">
        <v>1769</v>
      </c>
      <c r="AO37" s="2">
        <v>12906</v>
      </c>
      <c r="AP37" s="2">
        <v>2.27</v>
      </c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2">
        <v>246</v>
      </c>
      <c r="BD37" s="1" t="e">
        <f t="shared" si="22"/>
        <v>#DIV/0!</v>
      </c>
      <c r="BE37" s="2">
        <v>205</v>
      </c>
      <c r="BF37" s="1" t="e">
        <f t="shared" si="23"/>
        <v>#DIV/0!</v>
      </c>
      <c r="BG37" s="2">
        <v>158</v>
      </c>
      <c r="BH37" s="1" t="e">
        <f t="shared" si="24"/>
        <v>#DIV/0!</v>
      </c>
      <c r="BI37" s="2">
        <v>140</v>
      </c>
      <c r="BJ37" s="1" t="e">
        <f t="shared" si="25"/>
        <v>#DIV/0!</v>
      </c>
      <c r="BK37" s="2">
        <v>125</v>
      </c>
      <c r="BL37" s="1" t="e">
        <f t="shared" si="26"/>
        <v>#DIV/0!</v>
      </c>
      <c r="BM37" s="2">
        <v>130</v>
      </c>
      <c r="BN37" s="1" t="e">
        <f t="shared" si="27"/>
        <v>#DIV/0!</v>
      </c>
      <c r="BO37" s="2">
        <v>133</v>
      </c>
      <c r="BP37" s="1" t="e">
        <f t="shared" si="28"/>
        <v>#DIV/0!</v>
      </c>
      <c r="BQ37" s="2">
        <v>88</v>
      </c>
      <c r="BR37" s="1" t="e">
        <f t="shared" si="29"/>
        <v>#DIV/0!</v>
      </c>
      <c r="BS37" s="2">
        <v>166</v>
      </c>
      <c r="BT37" s="1" t="e">
        <f t="shared" si="30"/>
        <v>#DIV/0!</v>
      </c>
      <c r="BU37" s="1"/>
      <c r="BV37" s="1" t="e">
        <f t="shared" si="31"/>
        <v>#DIV/0!</v>
      </c>
      <c r="BW37" s="1">
        <f t="shared" si="32"/>
        <v>1.0506329113924051</v>
      </c>
      <c r="BX37" s="1">
        <f t="shared" si="33"/>
        <v>0</v>
      </c>
    </row>
    <row r="38" spans="1:76" ht="14.25" customHeight="1">
      <c r="A38" s="18" t="s">
        <v>129</v>
      </c>
      <c r="B38" s="2"/>
      <c r="C38" s="2"/>
      <c r="D38" s="2"/>
      <c r="E38" s="2"/>
      <c r="F38" s="7">
        <v>37488</v>
      </c>
      <c r="G38" s="2" t="s">
        <v>117</v>
      </c>
      <c r="H38" s="2">
        <v>23</v>
      </c>
      <c r="I38" s="1"/>
      <c r="J38" s="2">
        <v>175.5</v>
      </c>
      <c r="K38" s="1"/>
      <c r="L38" s="1"/>
      <c r="M38" s="7">
        <v>46199</v>
      </c>
      <c r="N38" s="2">
        <v>1010</v>
      </c>
      <c r="O38" s="2">
        <v>27.7</v>
      </c>
      <c r="P38" s="2">
        <v>28.8</v>
      </c>
      <c r="Q38" s="2">
        <v>8.9</v>
      </c>
      <c r="R38" s="2">
        <v>9.6999999999999993</v>
      </c>
      <c r="S38" s="2">
        <v>11.2</v>
      </c>
      <c r="T38" s="2">
        <v>10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19"/>
        <v>65.7</v>
      </c>
      <c r="Z38" s="1">
        <f t="shared" si="20"/>
        <v>43.599999999999994</v>
      </c>
      <c r="AA38" s="1">
        <f t="shared" si="21"/>
        <v>1.5068807339449544</v>
      </c>
      <c r="AB38" s="2">
        <v>10</v>
      </c>
      <c r="AC38" s="2">
        <v>10</v>
      </c>
      <c r="AD38" s="2">
        <v>11</v>
      </c>
      <c r="AE38" s="2">
        <v>13</v>
      </c>
      <c r="AF38" s="2">
        <v>15.5</v>
      </c>
      <c r="AG38" s="1"/>
      <c r="AH38" s="1" t="e">
        <f t="shared" si="34"/>
        <v>#DIV/0!</v>
      </c>
      <c r="AI38" s="1"/>
      <c r="AJ38" s="1" t="e">
        <f t="shared" si="35"/>
        <v>#DIV/0!</v>
      </c>
      <c r="AK38" s="1"/>
      <c r="AL38" s="1"/>
      <c r="AM38" s="2">
        <v>34.6</v>
      </c>
      <c r="AN38" s="2">
        <v>1714</v>
      </c>
      <c r="AO38" s="2">
        <v>11086</v>
      </c>
      <c r="AP38" s="2">
        <v>2.54</v>
      </c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2">
        <v>226</v>
      </c>
      <c r="BD38" s="1" t="e">
        <f t="shared" si="22"/>
        <v>#DIV/0!</v>
      </c>
      <c r="BE38" s="2">
        <v>194</v>
      </c>
      <c r="BF38" s="1" t="e">
        <f t="shared" si="23"/>
        <v>#DIV/0!</v>
      </c>
      <c r="BG38" s="2">
        <v>151</v>
      </c>
      <c r="BH38" s="1" t="e">
        <f t="shared" si="24"/>
        <v>#DIV/0!</v>
      </c>
      <c r="BI38" s="2">
        <v>128</v>
      </c>
      <c r="BJ38" s="1" t="e">
        <f t="shared" si="25"/>
        <v>#DIV/0!</v>
      </c>
      <c r="BK38" s="2">
        <v>122</v>
      </c>
      <c r="BL38" s="1" t="e">
        <f t="shared" si="26"/>
        <v>#DIV/0!</v>
      </c>
      <c r="BM38" s="2">
        <v>116</v>
      </c>
      <c r="BN38" s="1" t="e">
        <f t="shared" si="27"/>
        <v>#DIV/0!</v>
      </c>
      <c r="BO38" s="2">
        <v>113</v>
      </c>
      <c r="BP38" s="1" t="e">
        <f t="shared" si="28"/>
        <v>#DIV/0!</v>
      </c>
      <c r="BQ38" s="2">
        <v>88</v>
      </c>
      <c r="BR38" s="1" t="e">
        <f t="shared" si="29"/>
        <v>#DIV/0!</v>
      </c>
      <c r="BS38" s="2">
        <v>167</v>
      </c>
      <c r="BT38" s="1" t="e">
        <f t="shared" si="30"/>
        <v>#DIV/0!</v>
      </c>
      <c r="BU38" s="2">
        <v>146</v>
      </c>
      <c r="BV38" s="1" t="e">
        <f t="shared" si="31"/>
        <v>#DIV/0!</v>
      </c>
      <c r="BW38" s="1">
        <f t="shared" si="32"/>
        <v>1.1059602649006623</v>
      </c>
      <c r="BX38" s="1">
        <f t="shared" si="33"/>
        <v>1.140625</v>
      </c>
    </row>
    <row r="39" spans="1:76" ht="14.25" customHeight="1">
      <c r="A39" s="19" t="s">
        <v>130</v>
      </c>
      <c r="B39" s="2"/>
      <c r="C39" s="2"/>
      <c r="D39" s="2"/>
      <c r="E39" s="2"/>
      <c r="F39" s="7">
        <v>37859</v>
      </c>
      <c r="G39" s="2" t="s">
        <v>117</v>
      </c>
      <c r="H39" s="1"/>
      <c r="I39" s="1"/>
      <c r="J39" s="2">
        <v>173.6</v>
      </c>
      <c r="K39" s="1"/>
      <c r="L39" s="1"/>
      <c r="M39" s="7">
        <v>46199</v>
      </c>
      <c r="N39" s="2">
        <v>1018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</v>
      </c>
      <c r="Y39" s="1">
        <f t="shared" si="19"/>
        <v>52.4</v>
      </c>
      <c r="Z39" s="1">
        <f t="shared" si="20"/>
        <v>55.9</v>
      </c>
      <c r="AA39" s="1">
        <f t="shared" si="21"/>
        <v>0.93738819320214672</v>
      </c>
      <c r="AB39" s="2">
        <v>11</v>
      </c>
      <c r="AC39" s="2">
        <v>10</v>
      </c>
      <c r="AD39" s="2">
        <v>6</v>
      </c>
      <c r="AE39" s="2">
        <v>7</v>
      </c>
      <c r="AF39" s="2">
        <v>16.5</v>
      </c>
      <c r="AG39" s="1"/>
      <c r="AH39" s="1" t="e">
        <f t="shared" si="34"/>
        <v>#DIV/0!</v>
      </c>
      <c r="AI39" s="1"/>
      <c r="AJ39" s="1" t="e">
        <f t="shared" si="35"/>
        <v>#DIV/0!</v>
      </c>
      <c r="AK39" s="1"/>
      <c r="AL39" s="1"/>
      <c r="AM39" s="2">
        <v>36.1</v>
      </c>
      <c r="AN39" s="2">
        <v>2185</v>
      </c>
      <c r="AO39" s="2">
        <v>16691</v>
      </c>
      <c r="AP39" s="2">
        <v>3.11</v>
      </c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2">
        <v>200</v>
      </c>
      <c r="BD39" s="1" t="e">
        <f t="shared" si="22"/>
        <v>#DIV/0!</v>
      </c>
      <c r="BE39" s="2">
        <v>213</v>
      </c>
      <c r="BF39" s="1" t="e">
        <f t="shared" si="23"/>
        <v>#DIV/0!</v>
      </c>
      <c r="BG39" s="2">
        <v>136</v>
      </c>
      <c r="BH39" s="1" t="e">
        <f t="shared" si="24"/>
        <v>#DIV/0!</v>
      </c>
      <c r="BI39" s="2">
        <v>142</v>
      </c>
      <c r="BJ39" s="1" t="e">
        <f t="shared" si="25"/>
        <v>#DIV/0!</v>
      </c>
      <c r="BK39" s="2">
        <v>110</v>
      </c>
      <c r="BL39" s="1" t="e">
        <f t="shared" si="26"/>
        <v>#DIV/0!</v>
      </c>
      <c r="BM39" s="2">
        <v>87</v>
      </c>
      <c r="BN39" s="1" t="e">
        <f t="shared" si="27"/>
        <v>#DIV/0!</v>
      </c>
      <c r="BO39" s="2">
        <v>84</v>
      </c>
      <c r="BP39" s="1" t="e">
        <f t="shared" si="28"/>
        <v>#DIV/0!</v>
      </c>
      <c r="BQ39" s="2">
        <v>79</v>
      </c>
      <c r="BR39" s="1" t="e">
        <f t="shared" si="29"/>
        <v>#DIV/0!</v>
      </c>
      <c r="BS39" s="1"/>
      <c r="BT39" s="1" t="e">
        <f t="shared" si="30"/>
        <v>#DIV/0!</v>
      </c>
      <c r="BU39" s="2">
        <v>121</v>
      </c>
      <c r="BV39" s="1" t="e">
        <f t="shared" si="31"/>
        <v>#DIV/0!</v>
      </c>
      <c r="BW39" s="1">
        <f t="shared" si="32"/>
        <v>0</v>
      </c>
      <c r="BX39" s="1">
        <f t="shared" si="33"/>
        <v>0.852112676056338</v>
      </c>
    </row>
    <row r="40" spans="1:76" ht="14.25" customHeight="1">
      <c r="A40" s="18" t="s">
        <v>131</v>
      </c>
      <c r="B40" s="2">
        <v>68</v>
      </c>
      <c r="C40" s="2" t="s">
        <v>81</v>
      </c>
      <c r="D40" s="2"/>
      <c r="E40" s="2" t="s">
        <v>132</v>
      </c>
      <c r="F40" s="7">
        <v>39424</v>
      </c>
      <c r="G40" s="2" t="s">
        <v>117</v>
      </c>
      <c r="H40" s="1"/>
      <c r="I40" s="1"/>
      <c r="J40" s="2">
        <v>172.5</v>
      </c>
      <c r="K40" s="1"/>
      <c r="L40" s="1"/>
      <c r="M40" s="7">
        <v>46199</v>
      </c>
      <c r="N40" s="2">
        <v>1131</v>
      </c>
      <c r="O40" s="2">
        <v>39</v>
      </c>
      <c r="P40" s="2">
        <v>36.200000000000003</v>
      </c>
      <c r="Q40" s="2">
        <v>12.5</v>
      </c>
      <c r="R40" s="2">
        <v>11.5</v>
      </c>
      <c r="S40" s="2">
        <v>12.1</v>
      </c>
      <c r="T40" s="2">
        <v>12.1</v>
      </c>
      <c r="U40" s="2">
        <v>32.799999999999997</v>
      </c>
      <c r="V40" s="2">
        <v>29.8</v>
      </c>
      <c r="W40" s="2">
        <v>22.5</v>
      </c>
      <c r="X40" s="2">
        <v>21.2</v>
      </c>
      <c r="Y40" s="1">
        <f t="shared" si="19"/>
        <v>62.599999999999994</v>
      </c>
      <c r="Z40" s="1">
        <f t="shared" si="20"/>
        <v>43.7</v>
      </c>
      <c r="AA40" s="1">
        <f t="shared" si="21"/>
        <v>1.4324942791762012</v>
      </c>
      <c r="AB40" s="2">
        <v>13</v>
      </c>
      <c r="AC40" s="2">
        <v>16</v>
      </c>
      <c r="AD40" s="2">
        <v>13</v>
      </c>
      <c r="AE40" s="2">
        <v>12</v>
      </c>
      <c r="AF40" s="2">
        <v>39</v>
      </c>
      <c r="AG40" s="1"/>
      <c r="AH40" s="1" t="e">
        <f t="shared" si="34"/>
        <v>#DIV/0!</v>
      </c>
      <c r="AI40" s="1"/>
      <c r="AJ40" s="1" t="e">
        <f t="shared" si="35"/>
        <v>#DIV/0!</v>
      </c>
      <c r="AK40" s="1"/>
      <c r="AL40" s="1"/>
      <c r="AM40" s="2">
        <v>40.5</v>
      </c>
      <c r="AN40" s="2">
        <v>1770</v>
      </c>
      <c r="AO40" s="2">
        <v>8248</v>
      </c>
      <c r="AP40" s="2">
        <v>1.78</v>
      </c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2">
        <v>230</v>
      </c>
      <c r="BD40" s="1" t="e">
        <f t="shared" si="22"/>
        <v>#DIV/0!</v>
      </c>
      <c r="BE40" s="2">
        <v>237</v>
      </c>
      <c r="BF40" s="1" t="e">
        <f t="shared" si="23"/>
        <v>#DIV/0!</v>
      </c>
      <c r="BG40" s="2">
        <v>158</v>
      </c>
      <c r="BH40" s="1" t="e">
        <f t="shared" si="24"/>
        <v>#DIV/0!</v>
      </c>
      <c r="BI40" s="2">
        <v>163</v>
      </c>
      <c r="BJ40" s="1" t="e">
        <f t="shared" si="25"/>
        <v>#DIV/0!</v>
      </c>
      <c r="BK40" s="2">
        <v>113</v>
      </c>
      <c r="BL40" s="1" t="e">
        <f t="shared" si="26"/>
        <v>#DIV/0!</v>
      </c>
      <c r="BM40" s="2">
        <v>123</v>
      </c>
      <c r="BN40" s="1" t="e">
        <f t="shared" si="27"/>
        <v>#DIV/0!</v>
      </c>
      <c r="BO40" s="2">
        <v>91</v>
      </c>
      <c r="BP40" s="1" t="e">
        <f t="shared" si="28"/>
        <v>#DIV/0!</v>
      </c>
      <c r="BQ40" s="2">
        <v>109</v>
      </c>
      <c r="BR40" s="1" t="e">
        <f t="shared" si="29"/>
        <v>#DIV/0!</v>
      </c>
      <c r="BS40" s="2">
        <v>144</v>
      </c>
      <c r="BT40" s="1" t="e">
        <f t="shared" si="30"/>
        <v>#DIV/0!</v>
      </c>
      <c r="BU40" s="2">
        <v>146</v>
      </c>
      <c r="BV40" s="1" t="e">
        <f t="shared" si="31"/>
        <v>#DIV/0!</v>
      </c>
      <c r="BW40" s="1">
        <f t="shared" si="32"/>
        <v>0.91139240506329111</v>
      </c>
      <c r="BX40" s="1">
        <f t="shared" si="33"/>
        <v>0.89570552147239269</v>
      </c>
    </row>
    <row r="41" spans="1:76" ht="14.25" customHeight="1">
      <c r="A41" s="18" t="s">
        <v>133</v>
      </c>
      <c r="B41" s="2"/>
      <c r="C41" s="2"/>
      <c r="D41" s="2"/>
      <c r="E41" s="2"/>
      <c r="F41" s="2"/>
      <c r="G41" s="2" t="s">
        <v>117</v>
      </c>
      <c r="H41" s="1"/>
      <c r="I41" s="1"/>
      <c r="J41" s="1"/>
      <c r="K41" s="1"/>
      <c r="L41" s="1"/>
      <c r="M41" s="7">
        <v>46199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19"/>
        <v>0</v>
      </c>
      <c r="Z41" s="1">
        <f t="shared" si="20"/>
        <v>0</v>
      </c>
      <c r="AA41" s="1" t="e">
        <f t="shared" si="21"/>
        <v>#DIV/0!</v>
      </c>
      <c r="AB41" s="1"/>
      <c r="AC41" s="1"/>
      <c r="AD41" s="1"/>
      <c r="AE41" s="1"/>
      <c r="AF41" s="1"/>
      <c r="AG41" s="1"/>
      <c r="AH41" s="1" t="e">
        <f t="shared" si="34"/>
        <v>#DIV/0!</v>
      </c>
      <c r="AI41" s="1"/>
      <c r="AJ41" s="1" t="e">
        <f t="shared" si="35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 t="e">
        <f t="shared" si="22"/>
        <v>#DIV/0!</v>
      </c>
      <c r="BE41" s="1"/>
      <c r="BF41" s="1" t="e">
        <f t="shared" si="23"/>
        <v>#DIV/0!</v>
      </c>
      <c r="BG41" s="1"/>
      <c r="BH41" s="1" t="e">
        <f t="shared" si="24"/>
        <v>#DIV/0!</v>
      </c>
      <c r="BI41" s="1"/>
      <c r="BJ41" s="1" t="e">
        <f t="shared" si="25"/>
        <v>#DIV/0!</v>
      </c>
      <c r="BK41" s="1"/>
      <c r="BL41" s="1" t="e">
        <f t="shared" si="26"/>
        <v>#DIV/0!</v>
      </c>
      <c r="BM41" s="1"/>
      <c r="BN41" s="1" t="e">
        <f t="shared" si="27"/>
        <v>#DIV/0!</v>
      </c>
      <c r="BO41" s="1"/>
      <c r="BP41" s="1" t="e">
        <f t="shared" si="28"/>
        <v>#DIV/0!</v>
      </c>
      <c r="BQ41" s="1"/>
      <c r="BR41" s="1" t="e">
        <f t="shared" si="29"/>
        <v>#DIV/0!</v>
      </c>
      <c r="BS41" s="1"/>
      <c r="BT41" s="1" t="e">
        <f t="shared" si="30"/>
        <v>#DIV/0!</v>
      </c>
      <c r="BU41" s="1"/>
      <c r="BV41" s="1" t="e">
        <f t="shared" si="31"/>
        <v>#DIV/0!</v>
      </c>
      <c r="BW41" s="1" t="e">
        <f t="shared" si="32"/>
        <v>#DIV/0!</v>
      </c>
      <c r="BX41" s="1" t="e">
        <f t="shared" si="33"/>
        <v>#DIV/0!</v>
      </c>
    </row>
    <row r="42" spans="1:76" ht="14.25" customHeight="1">
      <c r="A42" s="18" t="s">
        <v>134</v>
      </c>
      <c r="B42" s="2"/>
      <c r="C42" s="2"/>
      <c r="D42" s="2"/>
      <c r="E42" s="2"/>
      <c r="F42" s="7">
        <v>39189</v>
      </c>
      <c r="G42" s="2" t="s">
        <v>117</v>
      </c>
      <c r="H42" s="1"/>
      <c r="I42" s="1"/>
      <c r="J42" s="2">
        <v>177.5</v>
      </c>
      <c r="K42" s="1"/>
      <c r="L42" s="1"/>
      <c r="M42" s="7">
        <v>46199</v>
      </c>
      <c r="N42" s="2" t="s">
        <v>135</v>
      </c>
      <c r="O42" s="2">
        <v>30.9</v>
      </c>
      <c r="P42" s="2">
        <v>35.200000000000003</v>
      </c>
      <c r="Q42" s="2">
        <v>8.3000000000000007</v>
      </c>
      <c r="R42" s="2">
        <v>9.8000000000000007</v>
      </c>
      <c r="S42" s="2">
        <v>12.5</v>
      </c>
      <c r="T42" s="2">
        <v>12.3</v>
      </c>
      <c r="U42" s="2">
        <v>22</v>
      </c>
      <c r="V42" s="2">
        <v>21.8</v>
      </c>
      <c r="W42" s="2">
        <v>25.2</v>
      </c>
      <c r="X42" s="2">
        <v>24.7</v>
      </c>
      <c r="Y42" s="1">
        <f t="shared" si="19"/>
        <v>43.8</v>
      </c>
      <c r="Z42" s="1">
        <f t="shared" si="20"/>
        <v>49.9</v>
      </c>
      <c r="AA42" s="1">
        <f t="shared" si="21"/>
        <v>0.87775551102204408</v>
      </c>
      <c r="AB42" s="2">
        <v>13</v>
      </c>
      <c r="AC42" s="2">
        <v>16</v>
      </c>
      <c r="AD42" s="2">
        <v>11</v>
      </c>
      <c r="AE42" s="2">
        <v>10</v>
      </c>
      <c r="AF42" s="2">
        <v>26</v>
      </c>
      <c r="AG42" s="1"/>
      <c r="AH42" s="1" t="e">
        <f t="shared" si="34"/>
        <v>#DIV/0!</v>
      </c>
      <c r="AI42" s="1"/>
      <c r="AJ42" s="1" t="e">
        <f t="shared" si="35"/>
        <v>#DIV/0!</v>
      </c>
      <c r="AK42" s="1"/>
      <c r="AL42" s="1"/>
      <c r="AM42" s="2">
        <v>46.1</v>
      </c>
      <c r="AN42" s="2">
        <v>1936</v>
      </c>
      <c r="AO42" s="2">
        <v>12991</v>
      </c>
      <c r="AP42" s="2">
        <v>2.52</v>
      </c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2">
        <v>212</v>
      </c>
      <c r="BD42" s="1" t="e">
        <f t="shared" si="22"/>
        <v>#DIV/0!</v>
      </c>
      <c r="BE42" s="2">
        <v>268</v>
      </c>
      <c r="BF42" s="1" t="e">
        <f t="shared" si="23"/>
        <v>#DIV/0!</v>
      </c>
      <c r="BG42" s="2">
        <v>172</v>
      </c>
      <c r="BH42" s="1" t="e">
        <f t="shared" si="24"/>
        <v>#DIV/0!</v>
      </c>
      <c r="BI42" s="2">
        <v>175</v>
      </c>
      <c r="BJ42" s="1" t="e">
        <f t="shared" si="25"/>
        <v>#DIV/0!</v>
      </c>
      <c r="BK42" s="2">
        <v>153</v>
      </c>
      <c r="BL42" s="1" t="e">
        <f t="shared" si="26"/>
        <v>#DIV/0!</v>
      </c>
      <c r="BM42" s="2">
        <v>167</v>
      </c>
      <c r="BN42" s="1" t="e">
        <f t="shared" si="27"/>
        <v>#DIV/0!</v>
      </c>
      <c r="BO42" s="2">
        <v>131</v>
      </c>
      <c r="BP42" s="1" t="e">
        <f t="shared" si="28"/>
        <v>#DIV/0!</v>
      </c>
      <c r="BQ42" s="2">
        <v>138</v>
      </c>
      <c r="BR42" s="1" t="e">
        <f t="shared" si="29"/>
        <v>#DIV/0!</v>
      </c>
      <c r="BS42" s="2">
        <v>166</v>
      </c>
      <c r="BT42" s="1" t="e">
        <f t="shared" si="30"/>
        <v>#DIV/0!</v>
      </c>
      <c r="BU42" s="2">
        <v>145</v>
      </c>
      <c r="BV42" s="1" t="e">
        <f t="shared" si="31"/>
        <v>#DIV/0!</v>
      </c>
      <c r="BW42" s="1">
        <f t="shared" si="32"/>
        <v>0.96511627906976749</v>
      </c>
      <c r="BX42" s="1">
        <f t="shared" si="33"/>
        <v>0.82857142857142863</v>
      </c>
    </row>
    <row r="43" spans="1:76" ht="14.25" customHeight="1">
      <c r="A43" s="18" t="s">
        <v>136</v>
      </c>
      <c r="B43" s="2">
        <v>71</v>
      </c>
      <c r="C43" s="2" t="s">
        <v>76</v>
      </c>
      <c r="D43" s="2"/>
      <c r="E43" s="2" t="s">
        <v>137</v>
      </c>
      <c r="F43" s="7">
        <v>39110</v>
      </c>
      <c r="G43" s="2" t="s">
        <v>117</v>
      </c>
      <c r="H43" s="2">
        <v>19</v>
      </c>
      <c r="I43" s="1"/>
      <c r="J43" s="2">
        <v>192</v>
      </c>
      <c r="K43" s="1"/>
      <c r="L43" s="1"/>
      <c r="M43" s="7">
        <v>46199</v>
      </c>
      <c r="N43" s="2">
        <v>1497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8.8000000000000007</v>
      </c>
      <c r="U43" s="2">
        <v>41</v>
      </c>
      <c r="V43" s="2">
        <v>43.2</v>
      </c>
      <c r="W43" s="2">
        <v>27.9</v>
      </c>
      <c r="X43" s="2">
        <v>30.4</v>
      </c>
      <c r="Y43" s="1">
        <f t="shared" si="19"/>
        <v>84.2</v>
      </c>
      <c r="Z43" s="1">
        <f t="shared" si="20"/>
        <v>58.3</v>
      </c>
      <c r="AA43" s="1">
        <f t="shared" si="21"/>
        <v>1.4442538593481991</v>
      </c>
      <c r="AB43" s="2">
        <v>16</v>
      </c>
      <c r="AC43" s="2">
        <v>15</v>
      </c>
      <c r="AD43" s="2">
        <v>10</v>
      </c>
      <c r="AE43" s="2">
        <v>10.5</v>
      </c>
      <c r="AF43" s="2">
        <v>23</v>
      </c>
      <c r="AG43" s="1"/>
      <c r="AH43" s="1" t="e">
        <f t="shared" si="34"/>
        <v>#DIV/0!</v>
      </c>
      <c r="AI43" s="1"/>
      <c r="AJ43" s="1" t="e">
        <f t="shared" si="35"/>
        <v>#DIV/0!</v>
      </c>
      <c r="AK43" s="1"/>
      <c r="AL43" s="1"/>
      <c r="AM43" s="2">
        <v>39.200000000000003</v>
      </c>
      <c r="AN43" s="2">
        <v>2439</v>
      </c>
      <c r="AO43" s="2">
        <v>21430</v>
      </c>
      <c r="AP43" s="2">
        <v>2.2599999999999998</v>
      </c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 t="e">
        <f t="shared" si="22"/>
        <v>#DIV/0!</v>
      </c>
      <c r="BE43" s="2">
        <v>265</v>
      </c>
      <c r="BF43" s="1" t="e">
        <f t="shared" si="23"/>
        <v>#DIV/0!</v>
      </c>
      <c r="BG43" s="2">
        <v>169</v>
      </c>
      <c r="BH43" s="1" t="e">
        <f t="shared" si="24"/>
        <v>#DIV/0!</v>
      </c>
      <c r="BI43" s="2">
        <v>165</v>
      </c>
      <c r="BJ43" s="1" t="e">
        <f t="shared" si="25"/>
        <v>#DIV/0!</v>
      </c>
      <c r="BK43" s="2">
        <v>210</v>
      </c>
      <c r="BL43" s="1" t="e">
        <f t="shared" si="26"/>
        <v>#DIV/0!</v>
      </c>
      <c r="BM43" s="2">
        <v>180</v>
      </c>
      <c r="BN43" s="1" t="e">
        <f t="shared" si="27"/>
        <v>#DIV/0!</v>
      </c>
      <c r="BO43" s="2">
        <v>190</v>
      </c>
      <c r="BP43" s="1" t="e">
        <f t="shared" si="28"/>
        <v>#DIV/0!</v>
      </c>
      <c r="BQ43" s="2">
        <v>167</v>
      </c>
      <c r="BR43" s="1" t="e">
        <f t="shared" si="29"/>
        <v>#DIV/0!</v>
      </c>
      <c r="BS43" s="2">
        <v>254</v>
      </c>
      <c r="BT43" s="1" t="e">
        <f t="shared" si="30"/>
        <v>#DIV/0!</v>
      </c>
      <c r="BU43" s="2">
        <v>251</v>
      </c>
      <c r="BV43" s="1" t="e">
        <f t="shared" si="31"/>
        <v>#DIV/0!</v>
      </c>
      <c r="BW43" s="1">
        <f t="shared" si="32"/>
        <v>1.5029585798816567</v>
      </c>
      <c r="BX43" s="1">
        <f t="shared" si="33"/>
        <v>1.5212121212121212</v>
      </c>
    </row>
    <row r="44" spans="1:76" ht="14.25" customHeight="1">
      <c r="A44" s="18" t="s">
        <v>138</v>
      </c>
      <c r="B44" s="2">
        <v>82</v>
      </c>
      <c r="C44" s="2" t="s">
        <v>81</v>
      </c>
      <c r="D44" s="2"/>
      <c r="E44" s="2" t="s">
        <v>139</v>
      </c>
      <c r="F44" s="7">
        <v>39256</v>
      </c>
      <c r="G44" s="2" t="s">
        <v>117</v>
      </c>
      <c r="H44" s="1"/>
      <c r="I44" s="1"/>
      <c r="J44" s="2">
        <v>169</v>
      </c>
      <c r="K44" s="1"/>
      <c r="L44" s="1"/>
      <c r="M44" s="7">
        <v>46199</v>
      </c>
      <c r="N44" s="2">
        <v>1164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18.600000000000001</v>
      </c>
      <c r="Y44" s="1">
        <f t="shared" si="19"/>
        <v>45.8</v>
      </c>
      <c r="Z44" s="1">
        <f t="shared" si="20"/>
        <v>34.1</v>
      </c>
      <c r="AA44" s="1">
        <f t="shared" si="21"/>
        <v>1.3431085043988269</v>
      </c>
      <c r="AB44" s="2">
        <v>12</v>
      </c>
      <c r="AC44" s="2">
        <v>12</v>
      </c>
      <c r="AD44" s="2">
        <v>9</v>
      </c>
      <c r="AE44" s="2">
        <v>9</v>
      </c>
      <c r="AF44" s="2">
        <v>35</v>
      </c>
      <c r="AG44" s="1"/>
      <c r="AH44" s="1" t="e">
        <f t="shared" si="34"/>
        <v>#DIV/0!</v>
      </c>
      <c r="AI44" s="1"/>
      <c r="AJ44" s="1" t="e">
        <f t="shared" si="35"/>
        <v>#DIV/0!</v>
      </c>
      <c r="AK44" s="1"/>
      <c r="AL44" s="1"/>
      <c r="AM44" s="2">
        <v>41.4</v>
      </c>
      <c r="AN44" s="2">
        <v>1569</v>
      </c>
      <c r="AO44" s="2">
        <v>8108</v>
      </c>
      <c r="AP44" s="2">
        <v>2.4700000000000002</v>
      </c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2">
        <v>225</v>
      </c>
      <c r="BD44" s="1" t="e">
        <f t="shared" si="22"/>
        <v>#DIV/0!</v>
      </c>
      <c r="BE44" s="2">
        <v>236</v>
      </c>
      <c r="BF44" s="1" t="e">
        <f t="shared" si="23"/>
        <v>#DIV/0!</v>
      </c>
      <c r="BG44" s="2">
        <v>153</v>
      </c>
      <c r="BH44" s="1" t="e">
        <f t="shared" si="24"/>
        <v>#DIV/0!</v>
      </c>
      <c r="BI44" s="2">
        <v>145</v>
      </c>
      <c r="BJ44" s="1" t="e">
        <f t="shared" si="25"/>
        <v>#DIV/0!</v>
      </c>
      <c r="BK44" s="2">
        <v>129</v>
      </c>
      <c r="BL44" s="1" t="e">
        <f t="shared" si="26"/>
        <v>#DIV/0!</v>
      </c>
      <c r="BM44" s="2">
        <v>140</v>
      </c>
      <c r="BN44" s="1" t="e">
        <f t="shared" si="27"/>
        <v>#DIV/0!</v>
      </c>
      <c r="BO44" s="2">
        <v>99</v>
      </c>
      <c r="BP44" s="1" t="e">
        <f t="shared" si="28"/>
        <v>#DIV/0!</v>
      </c>
      <c r="BQ44" s="2">
        <v>108</v>
      </c>
      <c r="BR44" s="1" t="e">
        <f t="shared" si="29"/>
        <v>#DIV/0!</v>
      </c>
      <c r="BS44" s="2">
        <v>125</v>
      </c>
      <c r="BT44" s="1" t="e">
        <f t="shared" si="30"/>
        <v>#DIV/0!</v>
      </c>
      <c r="BU44" s="2">
        <v>129</v>
      </c>
      <c r="BV44" s="1" t="e">
        <f t="shared" si="31"/>
        <v>#DIV/0!</v>
      </c>
      <c r="BW44" s="1">
        <f t="shared" si="32"/>
        <v>0.81699346405228757</v>
      </c>
      <c r="BX44" s="1">
        <f t="shared" si="33"/>
        <v>0.8896551724137931</v>
      </c>
    </row>
    <row r="45" spans="1:76" ht="14.25" customHeight="1">
      <c r="A45" s="18" t="s">
        <v>140</v>
      </c>
      <c r="B45" s="2">
        <v>75</v>
      </c>
      <c r="C45" s="2" t="s">
        <v>81</v>
      </c>
      <c r="D45" s="2"/>
      <c r="E45" s="2" t="s">
        <v>137</v>
      </c>
      <c r="F45" s="7">
        <v>39139</v>
      </c>
      <c r="G45" s="2" t="s">
        <v>117</v>
      </c>
      <c r="H45" s="1"/>
      <c r="I45" s="1"/>
      <c r="J45" s="2">
        <v>193</v>
      </c>
      <c r="K45" s="1"/>
      <c r="L45" s="7">
        <v>46199</v>
      </c>
      <c r="M45" s="7">
        <v>46199</v>
      </c>
      <c r="N45" s="2">
        <v>1298</v>
      </c>
      <c r="O45" s="2">
        <v>43</v>
      </c>
      <c r="P45" s="2">
        <v>40.5</v>
      </c>
      <c r="Q45" s="2">
        <v>9.1999999999999993</v>
      </c>
      <c r="R45" s="2">
        <v>11.2</v>
      </c>
      <c r="S45" s="2">
        <v>11.9</v>
      </c>
      <c r="T45" s="2">
        <v>14.1</v>
      </c>
      <c r="U45" s="2">
        <v>35.799999999999997</v>
      </c>
      <c r="V45" s="2">
        <v>38.9</v>
      </c>
      <c r="W45" s="2">
        <v>27.5</v>
      </c>
      <c r="X45" s="2" t="s">
        <v>141</v>
      </c>
      <c r="Y45" s="1">
        <f t="shared" si="19"/>
        <v>74.699999999999989</v>
      </c>
      <c r="Z45" s="1" t="e">
        <f t="shared" si="20"/>
        <v>#VALUE!</v>
      </c>
      <c r="AA45" s="1" t="e">
        <f t="shared" si="21"/>
        <v>#VALUE!</v>
      </c>
      <c r="AB45" s="2">
        <v>14</v>
      </c>
      <c r="AC45" s="2">
        <v>14</v>
      </c>
      <c r="AD45" s="2">
        <v>14</v>
      </c>
      <c r="AE45" s="2">
        <v>14</v>
      </c>
      <c r="AF45" s="2">
        <v>23</v>
      </c>
      <c r="AG45" s="1"/>
      <c r="AH45" s="1" t="e">
        <f t="shared" si="34"/>
        <v>#DIV/0!</v>
      </c>
      <c r="AI45" s="1"/>
      <c r="AJ45" s="1" t="e">
        <f t="shared" si="35"/>
        <v>#DIV/0!</v>
      </c>
      <c r="AK45" s="1"/>
      <c r="AL45" s="1"/>
      <c r="AM45" s="2">
        <v>42.7</v>
      </c>
      <c r="AN45" s="2">
        <v>2439</v>
      </c>
      <c r="AO45" s="2">
        <v>18011</v>
      </c>
      <c r="AP45" s="2">
        <v>2.21</v>
      </c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2">
        <v>187</v>
      </c>
      <c r="BD45" s="1" t="e">
        <f t="shared" si="22"/>
        <v>#DIV/0!</v>
      </c>
      <c r="BE45" s="2">
        <v>245</v>
      </c>
      <c r="BF45" s="1" t="e">
        <f t="shared" si="23"/>
        <v>#DIV/0!</v>
      </c>
      <c r="BG45" s="2">
        <v>141</v>
      </c>
      <c r="BH45" s="1" t="e">
        <f t="shared" si="24"/>
        <v>#DIV/0!</v>
      </c>
      <c r="BI45" s="2">
        <v>178</v>
      </c>
      <c r="BJ45" s="1" t="e">
        <f t="shared" si="25"/>
        <v>#DIV/0!</v>
      </c>
      <c r="BK45" s="2">
        <v>155</v>
      </c>
      <c r="BL45" s="1" t="e">
        <f t="shared" si="26"/>
        <v>#DIV/0!</v>
      </c>
      <c r="BM45" s="2">
        <v>171</v>
      </c>
      <c r="BN45" s="1" t="e">
        <f t="shared" si="27"/>
        <v>#DIV/0!</v>
      </c>
      <c r="BO45" s="2">
        <v>102</v>
      </c>
      <c r="BP45" s="1" t="e">
        <f t="shared" si="28"/>
        <v>#DIV/0!</v>
      </c>
      <c r="BQ45" s="2">
        <v>131</v>
      </c>
      <c r="BR45" s="1" t="e">
        <f t="shared" si="29"/>
        <v>#DIV/0!</v>
      </c>
      <c r="BS45" s="2">
        <v>221</v>
      </c>
      <c r="BT45" s="1" t="e">
        <f t="shared" si="30"/>
        <v>#DIV/0!</v>
      </c>
      <c r="BU45" s="2">
        <v>236</v>
      </c>
      <c r="BV45" s="1" t="e">
        <f t="shared" si="31"/>
        <v>#DIV/0!</v>
      </c>
      <c r="BW45" s="1">
        <f t="shared" si="32"/>
        <v>1.5673758865248226</v>
      </c>
      <c r="BX45" s="1">
        <f t="shared" si="33"/>
        <v>1.3258426966292134</v>
      </c>
    </row>
    <row r="46" spans="1:76" ht="14.25" customHeight="1">
      <c r="A46" s="18" t="s">
        <v>142</v>
      </c>
      <c r="B46" s="2"/>
      <c r="C46" s="2"/>
      <c r="D46" s="2"/>
      <c r="E46" s="2"/>
      <c r="F46" s="2"/>
      <c r="G46" s="2" t="s">
        <v>117</v>
      </c>
      <c r="H46" s="1"/>
      <c r="I46" s="1"/>
      <c r="J46" s="2">
        <v>182.5</v>
      </c>
      <c r="K46" s="1"/>
      <c r="L46" s="1"/>
      <c r="M46" s="7">
        <v>46199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9.8000000000000007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19"/>
        <v>42.5</v>
      </c>
      <c r="Z46" s="1">
        <f t="shared" si="20"/>
        <v>46.900000000000006</v>
      </c>
      <c r="AA46" s="1">
        <f t="shared" si="21"/>
        <v>0.90618336886993589</v>
      </c>
      <c r="AB46" s="2">
        <v>19</v>
      </c>
      <c r="AC46" s="2">
        <v>18</v>
      </c>
      <c r="AD46" s="2">
        <v>7</v>
      </c>
      <c r="AE46" s="2">
        <v>9</v>
      </c>
      <c r="AF46" s="2">
        <v>40</v>
      </c>
      <c r="AG46" s="1"/>
      <c r="AH46" s="1" t="e">
        <f t="shared" si="34"/>
        <v>#DIV/0!</v>
      </c>
      <c r="AI46" s="1"/>
      <c r="AJ46" s="1" t="e">
        <f t="shared" si="35"/>
        <v>#DIV/0!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2">
        <v>113</v>
      </c>
      <c r="BD46" s="1" t="e">
        <f t="shared" si="22"/>
        <v>#DIV/0!</v>
      </c>
      <c r="BE46" s="2">
        <v>254</v>
      </c>
      <c r="BF46" s="1" t="e">
        <f t="shared" si="23"/>
        <v>#DIV/0!</v>
      </c>
      <c r="BG46" s="2">
        <v>82</v>
      </c>
      <c r="BH46" s="1" t="e">
        <f t="shared" si="24"/>
        <v>#DIV/0!</v>
      </c>
      <c r="BI46" s="2">
        <v>192</v>
      </c>
      <c r="BJ46" s="1" t="e">
        <f t="shared" si="25"/>
        <v>#DIV/0!</v>
      </c>
      <c r="BK46" s="2">
        <v>180</v>
      </c>
      <c r="BL46" s="1" t="e">
        <f t="shared" si="26"/>
        <v>#DIV/0!</v>
      </c>
      <c r="BM46" s="2">
        <v>170</v>
      </c>
      <c r="BN46" s="1" t="e">
        <f t="shared" si="27"/>
        <v>#DIV/0!</v>
      </c>
      <c r="BO46" s="2">
        <v>171</v>
      </c>
      <c r="BP46" s="1" t="e">
        <f t="shared" si="28"/>
        <v>#DIV/0!</v>
      </c>
      <c r="BQ46" s="2">
        <v>142</v>
      </c>
      <c r="BR46" s="1" t="e">
        <f t="shared" si="29"/>
        <v>#DIV/0!</v>
      </c>
      <c r="BS46" s="2">
        <v>230</v>
      </c>
      <c r="BT46" s="1" t="e">
        <f t="shared" si="30"/>
        <v>#DIV/0!</v>
      </c>
      <c r="BU46" s="2">
        <v>213</v>
      </c>
      <c r="BV46" s="1" t="e">
        <f t="shared" si="31"/>
        <v>#DIV/0!</v>
      </c>
      <c r="BW46" s="1">
        <f t="shared" si="32"/>
        <v>2.8048780487804876</v>
      </c>
      <c r="BX46" s="1">
        <f t="shared" si="33"/>
        <v>1.109375</v>
      </c>
    </row>
    <row r="47" spans="1:76" ht="14.25" customHeight="1">
      <c r="A47" s="18" t="s">
        <v>143</v>
      </c>
      <c r="B47" s="2"/>
      <c r="C47" s="2"/>
      <c r="D47" s="2"/>
      <c r="E47" s="2"/>
      <c r="F47" s="2"/>
      <c r="G47" s="2" t="s">
        <v>144</v>
      </c>
      <c r="H47" s="1"/>
      <c r="I47" s="1"/>
      <c r="J47" s="2">
        <v>185</v>
      </c>
      <c r="K47" s="1"/>
      <c r="L47" s="7">
        <v>46202</v>
      </c>
      <c r="M47" s="7">
        <v>46199</v>
      </c>
      <c r="N47" s="2">
        <v>1027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19"/>
        <v>0</v>
      </c>
      <c r="Z47" s="1">
        <f t="shared" si="20"/>
        <v>0</v>
      </c>
      <c r="AA47" s="1" t="e">
        <f t="shared" si="21"/>
        <v>#DIV/0!</v>
      </c>
      <c r="AB47" s="1"/>
      <c r="AC47" s="1"/>
      <c r="AD47" s="1"/>
      <c r="AE47" s="1"/>
      <c r="AF47" s="1"/>
      <c r="AG47" s="1"/>
      <c r="AH47" s="1" t="e">
        <f t="shared" si="34"/>
        <v>#DIV/0!</v>
      </c>
      <c r="AI47" s="1"/>
      <c r="AJ47" s="1" t="e">
        <f t="shared" si="35"/>
        <v>#DIV/0!</v>
      </c>
      <c r="AK47" s="1"/>
      <c r="AL47" s="1"/>
      <c r="AM47" s="2">
        <v>38.4</v>
      </c>
      <c r="AN47" s="2">
        <v>1785</v>
      </c>
      <c r="AO47" s="2">
        <v>8941</v>
      </c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 t="e">
        <f t="shared" si="22"/>
        <v>#DIV/0!</v>
      </c>
      <c r="BE47" s="1"/>
      <c r="BF47" s="1" t="e">
        <f t="shared" si="23"/>
        <v>#DIV/0!</v>
      </c>
      <c r="BG47" s="1"/>
      <c r="BH47" s="1" t="e">
        <f t="shared" si="24"/>
        <v>#DIV/0!</v>
      </c>
      <c r="BI47" s="1"/>
      <c r="BJ47" s="1" t="e">
        <f t="shared" si="25"/>
        <v>#DIV/0!</v>
      </c>
      <c r="BK47" s="1"/>
      <c r="BL47" s="1" t="e">
        <f t="shared" si="26"/>
        <v>#DIV/0!</v>
      </c>
      <c r="BM47" s="1"/>
      <c r="BN47" s="1" t="e">
        <f t="shared" si="27"/>
        <v>#DIV/0!</v>
      </c>
      <c r="BO47" s="1"/>
      <c r="BP47" s="1" t="e">
        <f t="shared" si="28"/>
        <v>#DIV/0!</v>
      </c>
      <c r="BQ47" s="1"/>
      <c r="BR47" s="1" t="e">
        <f t="shared" si="29"/>
        <v>#DIV/0!</v>
      </c>
      <c r="BS47" s="1"/>
      <c r="BT47" s="1" t="e">
        <f t="shared" si="30"/>
        <v>#DIV/0!</v>
      </c>
      <c r="BU47" s="1"/>
      <c r="BV47" s="1" t="e">
        <f t="shared" si="31"/>
        <v>#DIV/0!</v>
      </c>
      <c r="BW47" s="1" t="e">
        <f t="shared" si="32"/>
        <v>#DIV/0!</v>
      </c>
      <c r="BX47" s="1" t="e">
        <f t="shared" si="33"/>
        <v>#DIV/0!</v>
      </c>
    </row>
    <row r="48" spans="1:76" ht="14.25" customHeight="1">
      <c r="A48" s="18" t="s">
        <v>145</v>
      </c>
      <c r="B48" s="2">
        <v>58</v>
      </c>
      <c r="C48" s="2" t="s">
        <v>81</v>
      </c>
      <c r="D48" s="2"/>
      <c r="E48" s="2" t="s">
        <v>146</v>
      </c>
      <c r="F48" s="7">
        <v>39582</v>
      </c>
      <c r="G48" s="2" t="s">
        <v>144</v>
      </c>
      <c r="H48" s="2">
        <v>18</v>
      </c>
      <c r="I48" s="2" t="s">
        <v>135</v>
      </c>
      <c r="J48" s="1"/>
      <c r="K48" s="1"/>
      <c r="L48" s="7">
        <v>46202</v>
      </c>
      <c r="M48" s="7">
        <v>46199</v>
      </c>
      <c r="N48" s="2">
        <v>961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19"/>
        <v>0</v>
      </c>
      <c r="Z48" s="1">
        <f t="shared" si="20"/>
        <v>0</v>
      </c>
      <c r="AA48" s="1" t="e">
        <f t="shared" si="21"/>
        <v>#DIV/0!</v>
      </c>
      <c r="AB48" s="1"/>
      <c r="AC48" s="1"/>
      <c r="AD48" s="1"/>
      <c r="AE48" s="1"/>
      <c r="AF48" s="1"/>
      <c r="AG48" s="1"/>
      <c r="AH48" s="1" t="e">
        <f t="shared" si="34"/>
        <v>#VALUE!</v>
      </c>
      <c r="AI48" s="1"/>
      <c r="AJ48" s="1" t="e">
        <f t="shared" si="35"/>
        <v>#VALUE!</v>
      </c>
      <c r="AK48" s="1"/>
      <c r="AL48" s="1"/>
      <c r="AM48" s="2">
        <v>37.4</v>
      </c>
      <c r="AN48" s="2">
        <v>1438</v>
      </c>
      <c r="AO48" s="2">
        <v>9762</v>
      </c>
      <c r="AP48" s="2">
        <v>3.07</v>
      </c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 t="e">
        <f t="shared" si="22"/>
        <v>#VALUE!</v>
      </c>
      <c r="BE48" s="1"/>
      <c r="BF48" s="1" t="e">
        <f t="shared" si="23"/>
        <v>#VALUE!</v>
      </c>
      <c r="BG48" s="1"/>
      <c r="BH48" s="1" t="e">
        <f t="shared" si="24"/>
        <v>#VALUE!</v>
      </c>
      <c r="BI48" s="1"/>
      <c r="BJ48" s="1" t="e">
        <f t="shared" si="25"/>
        <v>#VALUE!</v>
      </c>
      <c r="BK48" s="1"/>
      <c r="BL48" s="1" t="e">
        <f t="shared" si="26"/>
        <v>#VALUE!</v>
      </c>
      <c r="BM48" s="1"/>
      <c r="BN48" s="1" t="e">
        <f t="shared" si="27"/>
        <v>#VALUE!</v>
      </c>
      <c r="BO48" s="1"/>
      <c r="BP48" s="1" t="e">
        <f t="shared" si="28"/>
        <v>#VALUE!</v>
      </c>
      <c r="BQ48" s="1"/>
      <c r="BR48" s="1" t="e">
        <f t="shared" si="29"/>
        <v>#VALUE!</v>
      </c>
      <c r="BS48" s="1"/>
      <c r="BT48" s="1" t="e">
        <f t="shared" si="30"/>
        <v>#VALUE!</v>
      </c>
      <c r="BU48" s="1"/>
      <c r="BV48" s="1" t="e">
        <f t="shared" si="31"/>
        <v>#VALUE!</v>
      </c>
      <c r="BW48" s="1" t="e">
        <f t="shared" si="32"/>
        <v>#DIV/0!</v>
      </c>
      <c r="BX48" s="1" t="e">
        <f t="shared" si="33"/>
        <v>#DIV/0!</v>
      </c>
    </row>
    <row r="49" spans="1:76" ht="14.25" customHeight="1">
      <c r="A49" s="19" t="s">
        <v>147</v>
      </c>
      <c r="B49" s="2">
        <v>65</v>
      </c>
      <c r="C49" s="2" t="s">
        <v>81</v>
      </c>
      <c r="D49" s="2"/>
      <c r="E49" s="2" t="s">
        <v>148</v>
      </c>
      <c r="F49" s="7">
        <v>38159</v>
      </c>
      <c r="G49" s="2" t="s">
        <v>144</v>
      </c>
      <c r="H49" s="2">
        <v>22</v>
      </c>
      <c r="I49" s="1"/>
      <c r="J49" s="2">
        <v>176</v>
      </c>
      <c r="K49" s="1"/>
      <c r="L49" s="7">
        <v>46199</v>
      </c>
      <c r="M49" s="7">
        <v>46199</v>
      </c>
      <c r="N49" s="2">
        <v>1085</v>
      </c>
      <c r="O49" s="2">
        <v>34.799999999999997</v>
      </c>
      <c r="P49" s="2">
        <v>37</v>
      </c>
      <c r="Q49" s="2">
        <v>11.2</v>
      </c>
      <c r="R49" s="2">
        <v>9.4</v>
      </c>
      <c r="S49" s="2">
        <v>10.199999999999999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19"/>
        <v>55.2</v>
      </c>
      <c r="Z49" s="1">
        <f t="shared" si="20"/>
        <v>51.8</v>
      </c>
      <c r="AA49" s="1">
        <f t="shared" si="21"/>
        <v>1.0656370656370657</v>
      </c>
      <c r="AB49" s="2">
        <v>18</v>
      </c>
      <c r="AC49" s="2">
        <v>18</v>
      </c>
      <c r="AD49" s="1"/>
      <c r="AE49" s="1"/>
      <c r="AF49" s="1"/>
      <c r="AG49" s="1"/>
      <c r="AH49" s="1" t="e">
        <f t="shared" si="34"/>
        <v>#DIV/0!</v>
      </c>
      <c r="AI49" s="1"/>
      <c r="AJ49" s="1" t="e">
        <f t="shared" si="35"/>
        <v>#DIV/0!</v>
      </c>
      <c r="AK49" s="1"/>
      <c r="AL49" s="1"/>
      <c r="AM49" s="2">
        <v>44.2</v>
      </c>
      <c r="AN49" s="2">
        <v>2055</v>
      </c>
      <c r="AO49" s="2">
        <v>15972</v>
      </c>
      <c r="AP49" s="2">
        <v>3.37</v>
      </c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2">
        <v>214</v>
      </c>
      <c r="BD49" s="1" t="e">
        <f t="shared" si="22"/>
        <v>#DIV/0!</v>
      </c>
      <c r="BE49" s="2">
        <v>207</v>
      </c>
      <c r="BF49" s="1" t="e">
        <f t="shared" si="23"/>
        <v>#DIV/0!</v>
      </c>
      <c r="BG49" s="2">
        <v>153</v>
      </c>
      <c r="BH49" s="1" t="e">
        <f t="shared" si="24"/>
        <v>#DIV/0!</v>
      </c>
      <c r="BI49" s="2">
        <v>127</v>
      </c>
      <c r="BJ49" s="1" t="e">
        <f t="shared" si="25"/>
        <v>#DIV/0!</v>
      </c>
      <c r="BK49" s="2">
        <v>116</v>
      </c>
      <c r="BL49" s="1" t="e">
        <f t="shared" si="26"/>
        <v>#DIV/0!</v>
      </c>
      <c r="BM49" s="2">
        <v>135</v>
      </c>
      <c r="BN49" s="1" t="e">
        <f t="shared" si="27"/>
        <v>#DIV/0!</v>
      </c>
      <c r="BO49" s="2">
        <v>96</v>
      </c>
      <c r="BP49" s="1" t="e">
        <f t="shared" si="28"/>
        <v>#DIV/0!</v>
      </c>
      <c r="BQ49" s="2">
        <v>104</v>
      </c>
      <c r="BR49" s="1" t="e">
        <f t="shared" si="29"/>
        <v>#DIV/0!</v>
      </c>
      <c r="BS49" s="2">
        <v>118</v>
      </c>
      <c r="BT49" s="1" t="e">
        <f t="shared" si="30"/>
        <v>#DIV/0!</v>
      </c>
      <c r="BU49" s="2">
        <v>119</v>
      </c>
      <c r="BV49" s="1" t="e">
        <f t="shared" si="31"/>
        <v>#DIV/0!</v>
      </c>
      <c r="BW49" s="1">
        <f t="shared" si="32"/>
        <v>0.77124183006535951</v>
      </c>
      <c r="BX49" s="1">
        <f t="shared" si="33"/>
        <v>0.93700787401574803</v>
      </c>
    </row>
    <row r="50" spans="1:76" ht="14.25" customHeight="1">
      <c r="A50" s="18" t="s">
        <v>149</v>
      </c>
      <c r="B50" s="2">
        <v>57</v>
      </c>
      <c r="C50" s="2" t="s">
        <v>76</v>
      </c>
      <c r="D50" s="2"/>
      <c r="E50" s="2" t="s">
        <v>137</v>
      </c>
      <c r="F50" s="7">
        <v>39636</v>
      </c>
      <c r="G50" s="2" t="s">
        <v>144</v>
      </c>
      <c r="H50" s="2">
        <v>18</v>
      </c>
      <c r="I50" s="1"/>
      <c r="J50" s="2">
        <v>175</v>
      </c>
      <c r="K50" s="1"/>
      <c r="L50" s="7">
        <v>46202</v>
      </c>
      <c r="M50" s="7">
        <v>46199</v>
      </c>
      <c r="N50" s="2">
        <v>926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19"/>
        <v>0</v>
      </c>
      <c r="Z50" s="1">
        <f t="shared" si="20"/>
        <v>0</v>
      </c>
      <c r="AA50" s="1" t="e">
        <f t="shared" si="21"/>
        <v>#DIV/0!</v>
      </c>
      <c r="AB50" s="1"/>
      <c r="AC50" s="1"/>
      <c r="AD50" s="1"/>
      <c r="AE50" s="1"/>
      <c r="AF50" s="1"/>
      <c r="AG50" s="1"/>
      <c r="AH50" s="1" t="e">
        <f t="shared" si="34"/>
        <v>#DIV/0!</v>
      </c>
      <c r="AI50" s="1"/>
      <c r="AJ50" s="1" t="e">
        <f t="shared" si="35"/>
        <v>#DIV/0!</v>
      </c>
      <c r="AK50" s="1"/>
      <c r="AL50" s="1"/>
      <c r="AM50" s="2">
        <v>38</v>
      </c>
      <c r="AN50" s="2">
        <v>1805</v>
      </c>
      <c r="AO50" s="2">
        <v>11450</v>
      </c>
      <c r="AP50" s="2">
        <v>2.69</v>
      </c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 t="e">
        <f t="shared" si="22"/>
        <v>#DIV/0!</v>
      </c>
      <c r="BE50" s="1"/>
      <c r="BF50" s="1" t="e">
        <f t="shared" si="23"/>
        <v>#DIV/0!</v>
      </c>
      <c r="BG50" s="1"/>
      <c r="BH50" s="1" t="e">
        <f t="shared" si="24"/>
        <v>#DIV/0!</v>
      </c>
      <c r="BI50" s="1"/>
      <c r="BJ50" s="1" t="e">
        <f t="shared" si="25"/>
        <v>#DIV/0!</v>
      </c>
      <c r="BK50" s="1"/>
      <c r="BL50" s="1" t="e">
        <f t="shared" si="26"/>
        <v>#DIV/0!</v>
      </c>
      <c r="BM50" s="1"/>
      <c r="BN50" s="1" t="e">
        <f t="shared" si="27"/>
        <v>#DIV/0!</v>
      </c>
      <c r="BO50" s="1"/>
      <c r="BP50" s="1" t="e">
        <f t="shared" si="28"/>
        <v>#DIV/0!</v>
      </c>
      <c r="BQ50" s="1"/>
      <c r="BR50" s="1" t="e">
        <f t="shared" si="29"/>
        <v>#DIV/0!</v>
      </c>
      <c r="BS50" s="1"/>
      <c r="BT50" s="1" t="e">
        <f t="shared" si="30"/>
        <v>#DIV/0!</v>
      </c>
      <c r="BU50" s="1"/>
      <c r="BV50" s="1" t="e">
        <f t="shared" si="31"/>
        <v>#DIV/0!</v>
      </c>
      <c r="BW50" s="1" t="e">
        <f t="shared" si="32"/>
        <v>#DIV/0!</v>
      </c>
      <c r="BX50" s="1" t="e">
        <f t="shared" si="33"/>
        <v>#DIV/0!</v>
      </c>
    </row>
    <row r="51" spans="1:76" ht="14.25" customHeight="1">
      <c r="A51" s="19" t="s">
        <v>150</v>
      </c>
      <c r="B51" s="2"/>
      <c r="C51" s="2"/>
      <c r="D51" s="2"/>
      <c r="E51" s="2"/>
      <c r="F51" s="7">
        <v>40213</v>
      </c>
      <c r="G51" s="2" t="s">
        <v>144</v>
      </c>
      <c r="H51" s="1"/>
      <c r="I51" s="1"/>
      <c r="J51" s="2">
        <v>184</v>
      </c>
      <c r="K51" s="1"/>
      <c r="L51" s="1"/>
      <c r="M51" s="7">
        <v>46199</v>
      </c>
      <c r="N51" s="2">
        <v>1080</v>
      </c>
      <c r="O51" s="2">
        <v>34.9</v>
      </c>
      <c r="P51" s="2">
        <v>35.9</v>
      </c>
      <c r="Q51" s="2">
        <v>10.3</v>
      </c>
      <c r="R51" s="2">
        <v>8</v>
      </c>
      <c r="S51" s="2">
        <v>12.4</v>
      </c>
      <c r="T51" s="2">
        <v>11.5</v>
      </c>
      <c r="U51" s="2">
        <v>31.4</v>
      </c>
      <c r="V51" s="2">
        <v>30.6</v>
      </c>
      <c r="W51" s="2">
        <v>16.100000000000001</v>
      </c>
      <c r="X51" s="2">
        <v>16.100000000000001</v>
      </c>
      <c r="Y51" s="1">
        <f t="shared" si="19"/>
        <v>62</v>
      </c>
      <c r="Z51" s="1">
        <f t="shared" si="20"/>
        <v>32.200000000000003</v>
      </c>
      <c r="AA51" s="1">
        <f t="shared" si="21"/>
        <v>1.9254658385093166</v>
      </c>
      <c r="AB51" s="2">
        <v>15</v>
      </c>
      <c r="AC51" s="2">
        <v>17</v>
      </c>
      <c r="AD51" s="2">
        <v>12</v>
      </c>
      <c r="AE51" s="2">
        <v>15</v>
      </c>
      <c r="AF51" s="2">
        <v>31.5</v>
      </c>
      <c r="AG51" s="1"/>
      <c r="AH51" s="1" t="e">
        <f t="shared" si="34"/>
        <v>#DIV/0!</v>
      </c>
      <c r="AI51" s="1"/>
      <c r="AJ51" s="1" t="e">
        <f t="shared" si="35"/>
        <v>#DIV/0!</v>
      </c>
      <c r="AK51" s="1"/>
      <c r="AL51" s="1"/>
      <c r="AM51" s="2">
        <v>30</v>
      </c>
      <c r="AN51" s="2">
        <v>1885</v>
      </c>
      <c r="AO51" s="2">
        <v>12456</v>
      </c>
      <c r="AP51" s="2">
        <v>2.58</v>
      </c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2">
        <v>232</v>
      </c>
      <c r="BD51" s="1" t="e">
        <f t="shared" si="22"/>
        <v>#DIV/0!</v>
      </c>
      <c r="BE51" s="2">
        <v>279</v>
      </c>
      <c r="BF51" s="1" t="e">
        <f t="shared" si="23"/>
        <v>#DIV/0!</v>
      </c>
      <c r="BG51" s="2">
        <v>131</v>
      </c>
      <c r="BH51" s="1" t="e">
        <f t="shared" si="24"/>
        <v>#DIV/0!</v>
      </c>
      <c r="BI51" s="2">
        <v>171</v>
      </c>
      <c r="BJ51" s="1" t="e">
        <f t="shared" si="25"/>
        <v>#DIV/0!</v>
      </c>
      <c r="BK51" s="2">
        <v>142</v>
      </c>
      <c r="BL51" s="1" t="e">
        <f t="shared" si="26"/>
        <v>#DIV/0!</v>
      </c>
      <c r="BM51" s="2">
        <v>122</v>
      </c>
      <c r="BN51" s="1" t="e">
        <f t="shared" si="27"/>
        <v>#DIV/0!</v>
      </c>
      <c r="BO51" s="2">
        <v>154</v>
      </c>
      <c r="BP51" s="1" t="e">
        <f t="shared" si="28"/>
        <v>#DIV/0!</v>
      </c>
      <c r="BQ51" s="2">
        <v>132</v>
      </c>
      <c r="BR51" s="1" t="e">
        <f t="shared" si="29"/>
        <v>#DIV/0!</v>
      </c>
      <c r="BS51" s="2">
        <v>168</v>
      </c>
      <c r="BT51" s="1" t="e">
        <f t="shared" si="30"/>
        <v>#DIV/0!</v>
      </c>
      <c r="BU51" s="2">
        <v>174</v>
      </c>
      <c r="BV51" s="1" t="e">
        <f t="shared" si="31"/>
        <v>#DIV/0!</v>
      </c>
      <c r="BW51" s="1">
        <f t="shared" si="32"/>
        <v>1.282442748091603</v>
      </c>
      <c r="BX51" s="1">
        <f t="shared" si="33"/>
        <v>1.0175438596491229</v>
      </c>
    </row>
    <row r="52" spans="1:76" ht="14.25" customHeight="1">
      <c r="A52" s="18" t="s">
        <v>151</v>
      </c>
      <c r="B52" s="2">
        <v>52</v>
      </c>
      <c r="C52" s="2" t="s">
        <v>81</v>
      </c>
      <c r="D52" s="2"/>
      <c r="E52" s="2" t="s">
        <v>137</v>
      </c>
      <c r="F52" s="7">
        <v>39825</v>
      </c>
      <c r="G52" s="2" t="s">
        <v>144</v>
      </c>
      <c r="H52" s="2">
        <v>17</v>
      </c>
      <c r="I52" s="1"/>
      <c r="J52" s="2">
        <v>188</v>
      </c>
      <c r="K52" s="1"/>
      <c r="L52" s="7">
        <v>46202</v>
      </c>
      <c r="M52" s="7">
        <v>46199</v>
      </c>
      <c r="N52" s="2">
        <v>1357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9"/>
        <v>0</v>
      </c>
      <c r="Z52" s="1">
        <f t="shared" si="20"/>
        <v>0</v>
      </c>
      <c r="AA52" s="1" t="e">
        <f t="shared" si="21"/>
        <v>#DIV/0!</v>
      </c>
      <c r="AB52" s="1"/>
      <c r="AC52" s="1"/>
      <c r="AD52" s="1"/>
      <c r="AE52" s="1"/>
      <c r="AF52" s="1"/>
      <c r="AG52" s="1"/>
      <c r="AH52" s="1" t="e">
        <f t="shared" si="34"/>
        <v>#DIV/0!</v>
      </c>
      <c r="AI52" s="1"/>
      <c r="AJ52" s="1" t="e">
        <f t="shared" si="35"/>
        <v>#DIV/0!</v>
      </c>
      <c r="AK52" s="1"/>
      <c r="AL52" s="1"/>
      <c r="AM52" s="2">
        <v>37</v>
      </c>
      <c r="AN52" s="2">
        <v>2100</v>
      </c>
      <c r="AO52" s="2">
        <v>12231</v>
      </c>
      <c r="AP52" s="2">
        <v>2.67</v>
      </c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 t="e">
        <f t="shared" si="22"/>
        <v>#DIV/0!</v>
      </c>
      <c r="BE52" s="1"/>
      <c r="BF52" s="1" t="e">
        <f t="shared" si="23"/>
        <v>#DIV/0!</v>
      </c>
      <c r="BG52" s="1"/>
      <c r="BH52" s="1" t="e">
        <f t="shared" si="24"/>
        <v>#DIV/0!</v>
      </c>
      <c r="BI52" s="1"/>
      <c r="BJ52" s="1" t="e">
        <f t="shared" si="25"/>
        <v>#DIV/0!</v>
      </c>
      <c r="BK52" s="1"/>
      <c r="BL52" s="1" t="e">
        <f t="shared" si="26"/>
        <v>#DIV/0!</v>
      </c>
      <c r="BM52" s="1"/>
      <c r="BN52" s="1" t="e">
        <f t="shared" si="27"/>
        <v>#DIV/0!</v>
      </c>
      <c r="BO52" s="1"/>
      <c r="BP52" s="1" t="e">
        <f t="shared" si="28"/>
        <v>#DIV/0!</v>
      </c>
      <c r="BQ52" s="1"/>
      <c r="BR52" s="1" t="e">
        <f t="shared" si="29"/>
        <v>#DIV/0!</v>
      </c>
      <c r="BS52" s="1"/>
      <c r="BT52" s="1" t="e">
        <f t="shared" si="30"/>
        <v>#DIV/0!</v>
      </c>
      <c r="BU52" s="1"/>
      <c r="BV52" s="1" t="e">
        <f t="shared" si="31"/>
        <v>#DIV/0!</v>
      </c>
      <c r="BW52" s="1" t="e">
        <f t="shared" si="32"/>
        <v>#DIV/0!</v>
      </c>
      <c r="BX52" s="1" t="e">
        <f t="shared" si="33"/>
        <v>#DIV/0!</v>
      </c>
    </row>
    <row r="53" spans="1:76" ht="14.25" customHeight="1">
      <c r="A53" s="18" t="s">
        <v>152</v>
      </c>
      <c r="B53" s="2">
        <v>53</v>
      </c>
      <c r="C53" s="2" t="s">
        <v>81</v>
      </c>
      <c r="D53" s="2"/>
      <c r="E53" s="2" t="s">
        <v>146</v>
      </c>
      <c r="F53" s="17">
        <v>39773</v>
      </c>
      <c r="G53" s="2" t="s">
        <v>144</v>
      </c>
      <c r="H53" s="2">
        <v>17</v>
      </c>
      <c r="I53" s="1"/>
      <c r="J53" s="2">
        <v>183</v>
      </c>
      <c r="K53" s="1"/>
      <c r="L53" s="1"/>
      <c r="M53" s="7">
        <v>46199</v>
      </c>
      <c r="N53" s="2">
        <v>1182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9"/>
        <v>0</v>
      </c>
      <c r="Z53" s="1">
        <f t="shared" si="20"/>
        <v>0</v>
      </c>
      <c r="AA53" s="1" t="e">
        <f t="shared" si="21"/>
        <v>#DIV/0!</v>
      </c>
      <c r="AB53" s="1"/>
      <c r="AC53" s="1"/>
      <c r="AD53" s="1"/>
      <c r="AE53" s="1"/>
      <c r="AF53" s="1"/>
      <c r="AG53" s="1"/>
      <c r="AH53" s="1" t="e">
        <f t="shared" si="34"/>
        <v>#DIV/0!</v>
      </c>
      <c r="AI53" s="1"/>
      <c r="AJ53" s="1" t="e">
        <f t="shared" si="35"/>
        <v>#DIV/0!</v>
      </c>
      <c r="AK53" s="1"/>
      <c r="AL53" s="1"/>
      <c r="AM53" s="2">
        <v>36.9</v>
      </c>
      <c r="AN53" s="2">
        <v>1788</v>
      </c>
      <c r="AO53" s="2">
        <v>11741</v>
      </c>
      <c r="AP53" s="2">
        <v>2.4700000000000002</v>
      </c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 t="e">
        <f t="shared" si="22"/>
        <v>#DIV/0!</v>
      </c>
      <c r="BE53" s="1"/>
      <c r="BF53" s="1" t="e">
        <f t="shared" si="23"/>
        <v>#DIV/0!</v>
      </c>
      <c r="BG53" s="1"/>
      <c r="BH53" s="1" t="e">
        <f t="shared" si="24"/>
        <v>#DIV/0!</v>
      </c>
      <c r="BI53" s="1"/>
      <c r="BJ53" s="1" t="e">
        <f t="shared" si="25"/>
        <v>#DIV/0!</v>
      </c>
      <c r="BK53" s="1"/>
      <c r="BL53" s="1" t="e">
        <f t="shared" si="26"/>
        <v>#DIV/0!</v>
      </c>
      <c r="BM53" s="1"/>
      <c r="BN53" s="1" t="e">
        <f t="shared" si="27"/>
        <v>#DIV/0!</v>
      </c>
      <c r="BO53" s="1"/>
      <c r="BP53" s="1" t="e">
        <f t="shared" si="28"/>
        <v>#DIV/0!</v>
      </c>
      <c r="BQ53" s="1"/>
      <c r="BR53" s="1" t="e">
        <f t="shared" si="29"/>
        <v>#DIV/0!</v>
      </c>
      <c r="BS53" s="1"/>
      <c r="BT53" s="1" t="e">
        <f t="shared" si="30"/>
        <v>#DIV/0!</v>
      </c>
      <c r="BU53" s="1"/>
      <c r="BV53" s="1" t="e">
        <f t="shared" si="31"/>
        <v>#DIV/0!</v>
      </c>
      <c r="BW53" s="1" t="e">
        <f t="shared" si="32"/>
        <v>#DIV/0!</v>
      </c>
      <c r="BX53" s="1" t="e">
        <f t="shared" si="33"/>
        <v>#DIV/0!</v>
      </c>
    </row>
    <row r="54" spans="1:76" ht="14.25" customHeight="1">
      <c r="A54" s="18" t="s">
        <v>153</v>
      </c>
      <c r="B54" s="2">
        <v>55</v>
      </c>
      <c r="C54" s="2" t="s">
        <v>81</v>
      </c>
      <c r="D54" s="2"/>
      <c r="E54" s="2" t="s">
        <v>146</v>
      </c>
      <c r="F54" s="7">
        <v>40849</v>
      </c>
      <c r="G54" s="2" t="s">
        <v>144</v>
      </c>
      <c r="H54" s="2">
        <v>14</v>
      </c>
      <c r="I54" s="1"/>
      <c r="J54" s="1"/>
      <c r="K54" s="1"/>
      <c r="L54" s="1"/>
      <c r="M54" s="7">
        <v>46199</v>
      </c>
      <c r="N54" s="2">
        <v>1014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19"/>
        <v>0</v>
      </c>
      <c r="Z54" s="1">
        <f t="shared" si="20"/>
        <v>0</v>
      </c>
      <c r="AA54" s="1" t="e">
        <f t="shared" si="21"/>
        <v>#DIV/0!</v>
      </c>
      <c r="AB54" s="1"/>
      <c r="AC54" s="1"/>
      <c r="AD54" s="1"/>
      <c r="AE54" s="1"/>
      <c r="AF54" s="1"/>
      <c r="AG54" s="1"/>
      <c r="AH54" s="1" t="e">
        <f t="shared" si="34"/>
        <v>#DIV/0!</v>
      </c>
      <c r="AI54" s="1"/>
      <c r="AJ54" s="1" t="e">
        <f t="shared" si="35"/>
        <v>#DIV/0!</v>
      </c>
      <c r="AK54" s="1"/>
      <c r="AL54" s="1"/>
      <c r="AM54" s="2">
        <v>40.700000000000003</v>
      </c>
      <c r="AN54" s="2">
        <v>1762</v>
      </c>
      <c r="AO54" s="2">
        <v>8461</v>
      </c>
      <c r="AP54" s="2">
        <v>2.78</v>
      </c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 t="e">
        <f t="shared" si="22"/>
        <v>#DIV/0!</v>
      </c>
      <c r="BE54" s="1"/>
      <c r="BF54" s="1" t="e">
        <f t="shared" si="23"/>
        <v>#DIV/0!</v>
      </c>
      <c r="BG54" s="1"/>
      <c r="BH54" s="1" t="e">
        <f t="shared" si="24"/>
        <v>#DIV/0!</v>
      </c>
      <c r="BI54" s="1"/>
      <c r="BJ54" s="1" t="e">
        <f t="shared" si="25"/>
        <v>#DIV/0!</v>
      </c>
      <c r="BK54" s="1"/>
      <c r="BL54" s="1" t="e">
        <f t="shared" si="26"/>
        <v>#DIV/0!</v>
      </c>
      <c r="BM54" s="1"/>
      <c r="BN54" s="1" t="e">
        <f t="shared" si="27"/>
        <v>#DIV/0!</v>
      </c>
      <c r="BO54" s="1"/>
      <c r="BP54" s="1" t="e">
        <f t="shared" si="28"/>
        <v>#DIV/0!</v>
      </c>
      <c r="BQ54" s="1"/>
      <c r="BR54" s="1" t="e">
        <f t="shared" si="29"/>
        <v>#DIV/0!</v>
      </c>
      <c r="BS54" s="1"/>
      <c r="BT54" s="1" t="e">
        <f t="shared" si="30"/>
        <v>#DIV/0!</v>
      </c>
      <c r="BU54" s="1"/>
      <c r="BV54" s="1" t="e">
        <f t="shared" si="31"/>
        <v>#DIV/0!</v>
      </c>
      <c r="BW54" s="1" t="e">
        <f t="shared" si="32"/>
        <v>#DIV/0!</v>
      </c>
      <c r="BX54" s="1" t="e">
        <f t="shared" si="33"/>
        <v>#DIV/0!</v>
      </c>
    </row>
    <row r="55" spans="1:76" ht="14.25" customHeight="1">
      <c r="A55" s="18" t="s">
        <v>154</v>
      </c>
      <c r="B55" s="2">
        <v>70</v>
      </c>
      <c r="C55" s="2" t="s">
        <v>81</v>
      </c>
      <c r="D55" s="2"/>
      <c r="E55" s="2" t="s">
        <v>100</v>
      </c>
      <c r="F55" s="7">
        <v>38239</v>
      </c>
      <c r="G55" s="2" t="s">
        <v>144</v>
      </c>
      <c r="H55" s="2">
        <v>21</v>
      </c>
      <c r="I55" s="1"/>
      <c r="J55" s="1"/>
      <c r="K55" s="1"/>
      <c r="L55" s="1"/>
      <c r="M55" s="7">
        <v>46199</v>
      </c>
      <c r="N55" s="2">
        <v>1319</v>
      </c>
      <c r="O55" s="2">
        <v>45.1</v>
      </c>
      <c r="P55" s="2">
        <v>41.5</v>
      </c>
      <c r="Q55" s="2">
        <v>9</v>
      </c>
      <c r="R55" s="2">
        <v>8.6999999999999993</v>
      </c>
      <c r="S55" s="2">
        <v>8.4</v>
      </c>
      <c r="T55" s="2">
        <v>9.8000000000000007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19"/>
        <v>59.1</v>
      </c>
      <c r="Z55" s="1">
        <f t="shared" si="20"/>
        <v>65.5</v>
      </c>
      <c r="AA55" s="1">
        <f t="shared" si="21"/>
        <v>0.90229007633587788</v>
      </c>
      <c r="AB55" s="2">
        <v>18</v>
      </c>
      <c r="AC55" s="2">
        <v>20</v>
      </c>
      <c r="AD55" s="2">
        <v>13</v>
      </c>
      <c r="AE55" s="2">
        <v>12</v>
      </c>
      <c r="AF55" s="2">
        <v>42.5</v>
      </c>
      <c r="AG55" s="1"/>
      <c r="AH55" s="1" t="e">
        <f t="shared" si="34"/>
        <v>#DIV/0!</v>
      </c>
      <c r="AI55" s="1"/>
      <c r="AJ55" s="1" t="e">
        <f t="shared" si="35"/>
        <v>#DIV/0!</v>
      </c>
      <c r="AK55" s="1"/>
      <c r="AL55" s="1"/>
      <c r="AM55" s="2">
        <v>48.3</v>
      </c>
      <c r="AN55" s="2">
        <v>2448</v>
      </c>
      <c r="AO55" s="2">
        <v>15927</v>
      </c>
      <c r="AP55" s="2">
        <v>1.83</v>
      </c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2">
        <v>333</v>
      </c>
      <c r="BD55" s="1" t="e">
        <f t="shared" si="22"/>
        <v>#DIV/0!</v>
      </c>
      <c r="BE55" s="2">
        <v>312</v>
      </c>
      <c r="BF55" s="1" t="e">
        <f t="shared" si="23"/>
        <v>#DIV/0!</v>
      </c>
      <c r="BG55" s="2">
        <v>219</v>
      </c>
      <c r="BH55" s="1" t="e">
        <f t="shared" si="24"/>
        <v>#DIV/0!</v>
      </c>
      <c r="BI55" s="2">
        <v>204</v>
      </c>
      <c r="BJ55" s="1" t="e">
        <f t="shared" si="25"/>
        <v>#DIV/0!</v>
      </c>
      <c r="BK55" s="2">
        <v>165</v>
      </c>
      <c r="BL55" s="1" t="e">
        <f t="shared" si="26"/>
        <v>#DIV/0!</v>
      </c>
      <c r="BM55" s="2">
        <v>169</v>
      </c>
      <c r="BN55" s="1" t="e">
        <f t="shared" si="27"/>
        <v>#DIV/0!</v>
      </c>
      <c r="BO55" s="2">
        <v>164</v>
      </c>
      <c r="BP55" s="1" t="e">
        <f t="shared" si="28"/>
        <v>#DIV/0!</v>
      </c>
      <c r="BQ55" s="2">
        <v>155</v>
      </c>
      <c r="BR55" s="1" t="e">
        <f t="shared" si="29"/>
        <v>#DIV/0!</v>
      </c>
      <c r="BS55" s="2">
        <v>224</v>
      </c>
      <c r="BT55" s="1" t="e">
        <f t="shared" si="30"/>
        <v>#DIV/0!</v>
      </c>
      <c r="BU55" s="2">
        <v>212</v>
      </c>
      <c r="BV55" s="1" t="e">
        <f t="shared" si="31"/>
        <v>#DIV/0!</v>
      </c>
      <c r="BW55" s="1">
        <f t="shared" si="32"/>
        <v>1.0228310502283104</v>
      </c>
      <c r="BX55" s="1">
        <f t="shared" si="33"/>
        <v>1.0392156862745099</v>
      </c>
    </row>
    <row r="56" spans="1:76" ht="14.25" customHeight="1">
      <c r="A56" s="18" t="s">
        <v>155</v>
      </c>
      <c r="B56" s="2"/>
      <c r="C56" s="2"/>
      <c r="D56" s="2"/>
      <c r="E56" s="2"/>
      <c r="F56" s="2"/>
      <c r="G56" s="2" t="s">
        <v>144</v>
      </c>
      <c r="H56" s="1"/>
      <c r="I56" s="1"/>
      <c r="J56" s="1"/>
      <c r="K56" s="1"/>
      <c r="L56" s="1"/>
      <c r="M56" s="7">
        <v>46199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19"/>
        <v>0</v>
      </c>
      <c r="Z56" s="1">
        <f t="shared" si="20"/>
        <v>0</v>
      </c>
      <c r="AA56" s="1" t="e">
        <f t="shared" si="21"/>
        <v>#DIV/0!</v>
      </c>
      <c r="AB56" s="1"/>
      <c r="AC56" s="1"/>
      <c r="AD56" s="1"/>
      <c r="AE56" s="1"/>
      <c r="AF56" s="1"/>
      <c r="AG56" s="1"/>
      <c r="AH56" s="1" t="e">
        <f t="shared" si="34"/>
        <v>#DIV/0!</v>
      </c>
      <c r="AI56" s="1"/>
      <c r="AJ56" s="1" t="e">
        <f t="shared" si="35"/>
        <v>#DIV/0!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 t="e">
        <f t="shared" si="22"/>
        <v>#DIV/0!</v>
      </c>
      <c r="BE56" s="1"/>
      <c r="BF56" s="1" t="e">
        <f t="shared" si="23"/>
        <v>#DIV/0!</v>
      </c>
      <c r="BG56" s="1"/>
      <c r="BH56" s="1" t="e">
        <f t="shared" si="24"/>
        <v>#DIV/0!</v>
      </c>
      <c r="BI56" s="1"/>
      <c r="BJ56" s="1" t="e">
        <f t="shared" si="25"/>
        <v>#DIV/0!</v>
      </c>
      <c r="BK56" s="1"/>
      <c r="BL56" s="1" t="e">
        <f t="shared" si="26"/>
        <v>#DIV/0!</v>
      </c>
      <c r="BM56" s="1"/>
      <c r="BN56" s="1" t="e">
        <f t="shared" si="27"/>
        <v>#DIV/0!</v>
      </c>
      <c r="BO56" s="1"/>
      <c r="BP56" s="1" t="e">
        <f t="shared" si="28"/>
        <v>#DIV/0!</v>
      </c>
      <c r="BQ56" s="1"/>
      <c r="BR56" s="1" t="e">
        <f t="shared" si="29"/>
        <v>#DIV/0!</v>
      </c>
      <c r="BS56" s="1"/>
      <c r="BT56" s="1" t="e">
        <f t="shared" si="30"/>
        <v>#DIV/0!</v>
      </c>
      <c r="BU56" s="1"/>
      <c r="BV56" s="1" t="e">
        <f t="shared" si="31"/>
        <v>#DIV/0!</v>
      </c>
      <c r="BW56" s="1" t="e">
        <f t="shared" si="32"/>
        <v>#DIV/0!</v>
      </c>
      <c r="BX56" s="1" t="e">
        <f t="shared" si="33"/>
        <v>#DIV/0!</v>
      </c>
    </row>
    <row r="57" spans="1:76" ht="14.25" customHeight="1">
      <c r="A57" s="18" t="s">
        <v>156</v>
      </c>
      <c r="B57" s="2">
        <v>54</v>
      </c>
      <c r="C57" s="2" t="s">
        <v>81</v>
      </c>
      <c r="D57" s="2"/>
      <c r="E57" s="2" t="s">
        <v>146</v>
      </c>
      <c r="F57" s="7">
        <v>39825</v>
      </c>
      <c r="G57" s="2" t="s">
        <v>144</v>
      </c>
      <c r="H57" s="2">
        <v>17</v>
      </c>
      <c r="I57" s="1"/>
      <c r="J57" s="2">
        <v>178</v>
      </c>
      <c r="K57" s="1"/>
      <c r="L57" s="1"/>
      <c r="M57" s="7">
        <v>46199</v>
      </c>
      <c r="N57" s="2">
        <v>1168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9"/>
        <v>0</v>
      </c>
      <c r="Z57" s="1">
        <f t="shared" si="20"/>
        <v>0</v>
      </c>
      <c r="AA57" s="1" t="e">
        <f t="shared" si="21"/>
        <v>#DIV/0!</v>
      </c>
      <c r="AB57" s="1"/>
      <c r="AC57" s="1"/>
      <c r="AD57" s="1"/>
      <c r="AE57" s="1"/>
      <c r="AF57" s="1"/>
      <c r="AG57" s="1"/>
      <c r="AH57" s="1" t="e">
        <f t="shared" si="34"/>
        <v>#DIV/0!</v>
      </c>
      <c r="AI57" s="1"/>
      <c r="AJ57" s="1" t="e">
        <f t="shared" si="35"/>
        <v>#DIV/0!</v>
      </c>
      <c r="AK57" s="1"/>
      <c r="AL57" s="1"/>
      <c r="AM57" s="2">
        <v>35.1</v>
      </c>
      <c r="AN57" s="2">
        <v>1657</v>
      </c>
      <c r="AO57" s="2">
        <v>12351</v>
      </c>
      <c r="AP57" s="2">
        <v>2.13</v>
      </c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 t="e">
        <f t="shared" si="22"/>
        <v>#DIV/0!</v>
      </c>
      <c r="BE57" s="1"/>
      <c r="BF57" s="1" t="e">
        <f t="shared" si="23"/>
        <v>#DIV/0!</v>
      </c>
      <c r="BG57" s="1"/>
      <c r="BH57" s="1" t="e">
        <f t="shared" si="24"/>
        <v>#DIV/0!</v>
      </c>
      <c r="BI57" s="1"/>
      <c r="BJ57" s="1" t="e">
        <f t="shared" si="25"/>
        <v>#DIV/0!</v>
      </c>
      <c r="BK57" s="1"/>
      <c r="BL57" s="1" t="e">
        <f t="shared" si="26"/>
        <v>#DIV/0!</v>
      </c>
      <c r="BM57" s="1"/>
      <c r="BN57" s="1" t="e">
        <f t="shared" si="27"/>
        <v>#DIV/0!</v>
      </c>
      <c r="BO57" s="1"/>
      <c r="BP57" s="1" t="e">
        <f t="shared" si="28"/>
        <v>#DIV/0!</v>
      </c>
      <c r="BQ57" s="1"/>
      <c r="BR57" s="1" t="e">
        <f t="shared" si="29"/>
        <v>#DIV/0!</v>
      </c>
      <c r="BS57" s="1"/>
      <c r="BT57" s="1" t="e">
        <f t="shared" si="30"/>
        <v>#DIV/0!</v>
      </c>
      <c r="BU57" s="1"/>
      <c r="BV57" s="1" t="e">
        <f t="shared" si="31"/>
        <v>#DIV/0!</v>
      </c>
      <c r="BW57" s="1" t="e">
        <f t="shared" si="32"/>
        <v>#DIV/0!</v>
      </c>
      <c r="BX57" s="1" t="e">
        <f t="shared" si="33"/>
        <v>#DIV/0!</v>
      </c>
    </row>
    <row r="58" spans="1:76" ht="14.25" customHeight="1">
      <c r="A58" s="18" t="s">
        <v>157</v>
      </c>
      <c r="B58" s="2">
        <v>43</v>
      </c>
      <c r="C58" s="2" t="s">
        <v>81</v>
      </c>
      <c r="D58" s="2"/>
      <c r="E58" s="2" t="s">
        <v>103</v>
      </c>
      <c r="F58" s="7">
        <v>68865</v>
      </c>
      <c r="G58" s="2" t="s">
        <v>144</v>
      </c>
      <c r="H58" s="2">
        <v>18</v>
      </c>
      <c r="I58" s="1"/>
      <c r="J58" s="2">
        <v>189</v>
      </c>
      <c r="K58" s="1"/>
      <c r="L58" s="1"/>
      <c r="M58" s="7">
        <v>46199</v>
      </c>
      <c r="N58" s="2">
        <v>1430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9"/>
        <v>0</v>
      </c>
      <c r="Z58" s="1">
        <f t="shared" si="20"/>
        <v>0</v>
      </c>
      <c r="AA58" s="1" t="e">
        <f t="shared" si="21"/>
        <v>#DIV/0!</v>
      </c>
      <c r="AB58" s="1"/>
      <c r="AC58" s="1"/>
      <c r="AD58" s="1"/>
      <c r="AE58" s="1"/>
      <c r="AF58" s="1"/>
      <c r="AG58" s="1"/>
      <c r="AH58" s="1" t="e">
        <f t="shared" si="34"/>
        <v>#DIV/0!</v>
      </c>
      <c r="AI58" s="1"/>
      <c r="AJ58" s="1" t="e">
        <f t="shared" si="35"/>
        <v>#DIV/0!</v>
      </c>
      <c r="AK58" s="1"/>
      <c r="AL58" s="1"/>
      <c r="AM58" s="2">
        <v>41.5</v>
      </c>
      <c r="AN58" s="2">
        <v>1959</v>
      </c>
      <c r="AO58" s="2">
        <v>10902</v>
      </c>
      <c r="AP58" s="2">
        <v>2.4500000000000002</v>
      </c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 t="e">
        <f t="shared" si="22"/>
        <v>#DIV/0!</v>
      </c>
      <c r="BE58" s="1"/>
      <c r="BF58" s="1" t="e">
        <f t="shared" si="23"/>
        <v>#DIV/0!</v>
      </c>
      <c r="BG58" s="1"/>
      <c r="BH58" s="1" t="e">
        <f t="shared" si="24"/>
        <v>#DIV/0!</v>
      </c>
      <c r="BI58" s="1"/>
      <c r="BJ58" s="1" t="e">
        <f t="shared" si="25"/>
        <v>#DIV/0!</v>
      </c>
      <c r="BK58" s="1"/>
      <c r="BL58" s="1" t="e">
        <f t="shared" si="26"/>
        <v>#DIV/0!</v>
      </c>
      <c r="BM58" s="1"/>
      <c r="BN58" s="1" t="e">
        <f t="shared" si="27"/>
        <v>#DIV/0!</v>
      </c>
      <c r="BO58" s="1"/>
      <c r="BP58" s="1" t="e">
        <f t="shared" si="28"/>
        <v>#DIV/0!</v>
      </c>
      <c r="BQ58" s="1"/>
      <c r="BR58" s="1" t="e">
        <f t="shared" si="29"/>
        <v>#DIV/0!</v>
      </c>
      <c r="BS58" s="1"/>
      <c r="BT58" s="1" t="e">
        <f t="shared" si="30"/>
        <v>#DIV/0!</v>
      </c>
      <c r="BU58" s="1"/>
      <c r="BV58" s="1" t="e">
        <f t="shared" si="31"/>
        <v>#DIV/0!</v>
      </c>
      <c r="BW58" s="1" t="e">
        <f t="shared" si="32"/>
        <v>#DIV/0!</v>
      </c>
      <c r="BX58" s="1" t="e">
        <f t="shared" si="33"/>
        <v>#DIV/0!</v>
      </c>
    </row>
    <row r="59" spans="1:76" ht="14.25" customHeight="1">
      <c r="A59" s="18" t="s">
        <v>158</v>
      </c>
      <c r="B59" s="2">
        <v>41</v>
      </c>
      <c r="C59" s="2" t="s">
        <v>76</v>
      </c>
      <c r="D59" s="2"/>
      <c r="E59" s="2" t="s">
        <v>148</v>
      </c>
      <c r="F59" s="7">
        <v>39660</v>
      </c>
      <c r="G59" s="2" t="s">
        <v>144</v>
      </c>
      <c r="H59" s="2">
        <v>18</v>
      </c>
      <c r="I59" s="1"/>
      <c r="J59" s="2">
        <v>175</v>
      </c>
      <c r="K59" s="1"/>
      <c r="L59" s="1"/>
      <c r="M59" s="7">
        <v>46199</v>
      </c>
      <c r="N59" s="2">
        <v>957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19"/>
        <v>0</v>
      </c>
      <c r="Z59" s="1">
        <f t="shared" si="20"/>
        <v>0</v>
      </c>
      <c r="AA59" s="1" t="e">
        <f t="shared" si="21"/>
        <v>#DIV/0!</v>
      </c>
      <c r="AB59" s="1"/>
      <c r="AC59" s="1"/>
      <c r="AD59" s="1"/>
      <c r="AE59" s="1"/>
      <c r="AF59" s="1"/>
      <c r="AG59" s="1"/>
      <c r="AH59" s="1" t="e">
        <f t="shared" si="34"/>
        <v>#DIV/0!</v>
      </c>
      <c r="AI59" s="1"/>
      <c r="AJ59" s="1" t="e">
        <f t="shared" si="35"/>
        <v>#DIV/0!</v>
      </c>
      <c r="AK59" s="1"/>
      <c r="AL59" s="1"/>
      <c r="AM59" s="2">
        <v>35.1</v>
      </c>
      <c r="AN59" s="2">
        <v>1730</v>
      </c>
      <c r="AO59" s="2">
        <v>10436</v>
      </c>
      <c r="AP59" s="2">
        <v>2.34</v>
      </c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 t="e">
        <f t="shared" si="22"/>
        <v>#DIV/0!</v>
      </c>
      <c r="BE59" s="1"/>
      <c r="BF59" s="1" t="e">
        <f t="shared" si="23"/>
        <v>#DIV/0!</v>
      </c>
      <c r="BG59" s="1"/>
      <c r="BH59" s="1" t="e">
        <f t="shared" si="24"/>
        <v>#DIV/0!</v>
      </c>
      <c r="BI59" s="1"/>
      <c r="BJ59" s="1" t="e">
        <f t="shared" si="25"/>
        <v>#DIV/0!</v>
      </c>
      <c r="BK59" s="1"/>
      <c r="BL59" s="1" t="e">
        <f t="shared" si="26"/>
        <v>#DIV/0!</v>
      </c>
      <c r="BM59" s="1"/>
      <c r="BN59" s="1" t="e">
        <f t="shared" si="27"/>
        <v>#DIV/0!</v>
      </c>
      <c r="BO59" s="1"/>
      <c r="BP59" s="1" t="e">
        <f t="shared" si="28"/>
        <v>#DIV/0!</v>
      </c>
      <c r="BQ59" s="1"/>
      <c r="BR59" s="1" t="e">
        <f t="shared" si="29"/>
        <v>#DIV/0!</v>
      </c>
      <c r="BS59" s="1"/>
      <c r="BT59" s="1" t="e">
        <f t="shared" si="30"/>
        <v>#DIV/0!</v>
      </c>
      <c r="BU59" s="1"/>
      <c r="BV59" s="1" t="e">
        <f t="shared" si="31"/>
        <v>#DIV/0!</v>
      </c>
      <c r="BW59" s="1" t="e">
        <f t="shared" si="32"/>
        <v>#DIV/0!</v>
      </c>
      <c r="BX59" s="1" t="e">
        <f t="shared" si="33"/>
        <v>#DIV/0!</v>
      </c>
    </row>
    <row r="60" spans="1:76" ht="14.25" customHeight="1">
      <c r="A60" s="18" t="s">
        <v>159</v>
      </c>
      <c r="B60" s="2"/>
      <c r="C60" s="2"/>
      <c r="D60" s="2"/>
      <c r="E60" s="2"/>
      <c r="F60" s="7">
        <v>38799</v>
      </c>
      <c r="G60" s="2" t="s">
        <v>144</v>
      </c>
      <c r="H60" s="1"/>
      <c r="I60" s="1"/>
      <c r="J60" s="2">
        <v>184</v>
      </c>
      <c r="K60" s="1"/>
      <c r="L60" s="1"/>
      <c r="M60" s="7">
        <v>46199</v>
      </c>
      <c r="N60" s="2">
        <v>1246</v>
      </c>
      <c r="O60" s="2">
        <v>37.299999999999997</v>
      </c>
      <c r="P60" s="2">
        <v>35.6</v>
      </c>
      <c r="Q60" s="2">
        <v>11.5</v>
      </c>
      <c r="R60" s="2">
        <v>14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19"/>
        <v>46.599999999999994</v>
      </c>
      <c r="Z60" s="1">
        <f t="shared" si="20"/>
        <v>48.400000000000006</v>
      </c>
      <c r="AA60" s="1">
        <f t="shared" si="21"/>
        <v>0.96280991735537169</v>
      </c>
      <c r="AB60" s="2">
        <v>18</v>
      </c>
      <c r="AC60" s="2">
        <v>18</v>
      </c>
      <c r="AD60" s="2">
        <v>12</v>
      </c>
      <c r="AE60" s="2">
        <v>14</v>
      </c>
      <c r="AF60" s="2">
        <v>43.5</v>
      </c>
      <c r="AG60" s="1"/>
      <c r="AH60" s="1" t="e">
        <f t="shared" si="34"/>
        <v>#DIV/0!</v>
      </c>
      <c r="AI60" s="1"/>
      <c r="AJ60" s="1" t="e">
        <f t="shared" si="35"/>
        <v>#DIV/0!</v>
      </c>
      <c r="AK60" s="1"/>
      <c r="AL60" s="1"/>
      <c r="AM60" s="2">
        <v>52.9</v>
      </c>
      <c r="AN60" s="2">
        <v>1931</v>
      </c>
      <c r="AO60" s="2">
        <v>9792</v>
      </c>
      <c r="AP60" s="2">
        <v>2.21</v>
      </c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2">
        <v>314</v>
      </c>
      <c r="BD60" s="1" t="e">
        <f>#REF!/I60</f>
        <v>#REF!</v>
      </c>
      <c r="BE60" s="2">
        <v>340</v>
      </c>
      <c r="BF60" s="1" t="e">
        <f t="shared" si="23"/>
        <v>#DIV/0!</v>
      </c>
      <c r="BG60" s="2">
        <v>195</v>
      </c>
      <c r="BH60" s="1" t="e">
        <f t="shared" si="24"/>
        <v>#DIV/0!</v>
      </c>
      <c r="BI60" s="2">
        <v>204</v>
      </c>
      <c r="BJ60" s="1" t="e">
        <f t="shared" si="25"/>
        <v>#DIV/0!</v>
      </c>
      <c r="BK60" s="2">
        <v>170</v>
      </c>
      <c r="BL60" s="1" t="e">
        <f t="shared" si="26"/>
        <v>#DIV/0!</v>
      </c>
      <c r="BM60" s="2">
        <v>177</v>
      </c>
      <c r="BN60" s="1" t="e">
        <f t="shared" si="27"/>
        <v>#DIV/0!</v>
      </c>
      <c r="BO60" s="2">
        <v>157</v>
      </c>
      <c r="BP60" s="1" t="e">
        <f t="shared" si="28"/>
        <v>#DIV/0!</v>
      </c>
      <c r="BQ60" s="2">
        <v>162</v>
      </c>
      <c r="BR60" s="1" t="e">
        <f t="shared" si="29"/>
        <v>#DIV/0!</v>
      </c>
      <c r="BS60" s="2">
        <v>210</v>
      </c>
      <c r="BT60" s="1" t="e">
        <f t="shared" si="30"/>
        <v>#DIV/0!</v>
      </c>
      <c r="BU60" s="2">
        <v>211</v>
      </c>
      <c r="BV60" s="1" t="e">
        <f t="shared" si="31"/>
        <v>#DIV/0!</v>
      </c>
      <c r="BW60" s="1">
        <f t="shared" si="32"/>
        <v>1.0769230769230769</v>
      </c>
      <c r="BX60" s="1">
        <f t="shared" si="33"/>
        <v>1.0343137254901962</v>
      </c>
    </row>
    <row r="61" spans="1:76" ht="14.25" customHeight="1">
      <c r="A61" s="21" t="s">
        <v>160</v>
      </c>
      <c r="B61" s="2">
        <v>42</v>
      </c>
      <c r="C61" s="2" t="s">
        <v>81</v>
      </c>
      <c r="D61" s="2"/>
      <c r="E61" s="2" t="s">
        <v>137</v>
      </c>
      <c r="F61" s="7">
        <v>38972</v>
      </c>
      <c r="G61" s="2" t="s">
        <v>144</v>
      </c>
      <c r="H61" s="1"/>
      <c r="I61" s="1"/>
      <c r="J61" s="2">
        <v>189</v>
      </c>
      <c r="K61" s="1"/>
      <c r="L61" s="7">
        <v>46199</v>
      </c>
      <c r="M61" s="7">
        <v>46199</v>
      </c>
      <c r="N61" s="2">
        <v>1237</v>
      </c>
      <c r="O61" s="2">
        <v>38.200000000000003</v>
      </c>
      <c r="P61" s="2">
        <v>39.700000000000003</v>
      </c>
      <c r="Q61" s="2">
        <v>10.4</v>
      </c>
      <c r="R61" s="2">
        <v>8.6999999999999993</v>
      </c>
      <c r="S61" s="2">
        <v>7.4</v>
      </c>
      <c r="T61" s="2">
        <v>11.1</v>
      </c>
      <c r="U61" s="2">
        <v>27</v>
      </c>
      <c r="V61" s="2">
        <v>24.6</v>
      </c>
      <c r="W61" s="2">
        <v>20.2</v>
      </c>
      <c r="X61" s="2">
        <v>20.9</v>
      </c>
      <c r="Y61" s="1">
        <f t="shared" si="19"/>
        <v>51.6</v>
      </c>
      <c r="Z61" s="1">
        <f t="shared" si="20"/>
        <v>41.099999999999994</v>
      </c>
      <c r="AA61" s="1">
        <f t="shared" si="21"/>
        <v>1.2554744525547448</v>
      </c>
      <c r="AB61" s="2">
        <v>16</v>
      </c>
      <c r="AC61" s="2">
        <v>17</v>
      </c>
      <c r="AD61" s="2">
        <v>11</v>
      </c>
      <c r="AE61" s="2">
        <v>6</v>
      </c>
      <c r="AF61" s="2">
        <v>34.5</v>
      </c>
      <c r="AG61" s="1"/>
      <c r="AH61" s="1" t="e">
        <f t="shared" si="34"/>
        <v>#DIV/0!</v>
      </c>
      <c r="AI61" s="1"/>
      <c r="AJ61" s="1" t="e">
        <f t="shared" si="35"/>
        <v>#DIV/0!</v>
      </c>
      <c r="AK61" s="1"/>
      <c r="AL61" s="1"/>
      <c r="AM61" s="2">
        <v>38.799999999999997</v>
      </c>
      <c r="AN61" s="2">
        <v>2200</v>
      </c>
      <c r="AO61" s="2">
        <v>22313</v>
      </c>
      <c r="AP61" s="2">
        <v>3.17</v>
      </c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3">
        <v>261</v>
      </c>
      <c r="BD61" s="1" t="e">
        <f>BC60/I61</f>
        <v>#DIV/0!</v>
      </c>
      <c r="BE61" s="2">
        <v>197</v>
      </c>
      <c r="BF61" s="1" t="e">
        <f t="shared" si="23"/>
        <v>#DIV/0!</v>
      </c>
      <c r="BG61" s="2">
        <v>187</v>
      </c>
      <c r="BH61" s="1" t="e">
        <f t="shared" si="24"/>
        <v>#DIV/0!</v>
      </c>
      <c r="BI61" s="2">
        <v>176</v>
      </c>
      <c r="BJ61" s="1" t="e">
        <f t="shared" si="25"/>
        <v>#DIV/0!</v>
      </c>
      <c r="BK61" s="2">
        <v>152</v>
      </c>
      <c r="BL61" s="1" t="e">
        <f t="shared" si="26"/>
        <v>#DIV/0!</v>
      </c>
      <c r="BM61" s="2">
        <v>143</v>
      </c>
      <c r="BN61" s="1" t="e">
        <f t="shared" si="27"/>
        <v>#DIV/0!</v>
      </c>
      <c r="BO61" s="2">
        <v>121</v>
      </c>
      <c r="BP61" s="1" t="e">
        <f t="shared" si="28"/>
        <v>#DIV/0!</v>
      </c>
      <c r="BQ61" s="2">
        <v>104</v>
      </c>
      <c r="BR61" s="1" t="e">
        <f t="shared" si="29"/>
        <v>#DIV/0!</v>
      </c>
      <c r="BS61" s="2">
        <v>203</v>
      </c>
      <c r="BT61" s="1" t="e">
        <f t="shared" si="30"/>
        <v>#DIV/0!</v>
      </c>
      <c r="BU61" s="2">
        <v>180</v>
      </c>
      <c r="BV61" s="1" t="e">
        <f t="shared" si="31"/>
        <v>#DIV/0!</v>
      </c>
      <c r="BW61" s="1">
        <f t="shared" si="32"/>
        <v>1.0855614973262031</v>
      </c>
      <c r="BX61" s="1">
        <f t="shared" si="33"/>
        <v>1.0227272727272727</v>
      </c>
    </row>
    <row r="62" spans="1:76" ht="14.25" customHeight="1">
      <c r="A62" s="21" t="s">
        <v>161</v>
      </c>
      <c r="B62" s="2">
        <v>49</v>
      </c>
      <c r="C62" s="2" t="s">
        <v>81</v>
      </c>
      <c r="D62" s="2"/>
      <c r="E62" s="2" t="s">
        <v>103</v>
      </c>
      <c r="F62" s="7">
        <v>39910</v>
      </c>
      <c r="G62" s="2" t="s">
        <v>144</v>
      </c>
      <c r="H62" s="1"/>
      <c r="I62" s="1"/>
      <c r="J62" s="2">
        <v>184.5</v>
      </c>
      <c r="K62" s="1"/>
      <c r="L62" s="7">
        <v>46199</v>
      </c>
      <c r="M62" s="7">
        <v>46199</v>
      </c>
      <c r="N62" s="2">
        <v>1168</v>
      </c>
      <c r="O62" s="2">
        <v>36.200000000000003</v>
      </c>
      <c r="P62" s="2">
        <v>36.799999999999997</v>
      </c>
      <c r="Q62" s="2">
        <v>13.3</v>
      </c>
      <c r="R62" s="2">
        <v>13.5</v>
      </c>
      <c r="S62" s="2">
        <v>14.9</v>
      </c>
      <c r="T62" s="2">
        <v>13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19"/>
        <v>64.5</v>
      </c>
      <c r="Z62" s="1">
        <f t="shared" si="20"/>
        <v>45.8</v>
      </c>
      <c r="AA62" s="1">
        <f t="shared" si="21"/>
        <v>1.4082969432314412</v>
      </c>
      <c r="AB62" s="2">
        <v>17</v>
      </c>
      <c r="AC62" s="2">
        <v>17</v>
      </c>
      <c r="AD62" s="2">
        <v>5</v>
      </c>
      <c r="AE62" s="2">
        <v>6</v>
      </c>
      <c r="AF62" s="2">
        <v>15.5</v>
      </c>
      <c r="AG62" s="1"/>
      <c r="AH62" s="1" t="e">
        <f t="shared" si="34"/>
        <v>#DIV/0!</v>
      </c>
      <c r="AI62" s="1"/>
      <c r="AJ62" s="1" t="e">
        <f t="shared" si="35"/>
        <v>#DIV/0!</v>
      </c>
      <c r="AK62" s="1"/>
      <c r="AL62" s="1"/>
      <c r="AM62" s="2">
        <v>39.799999999999997</v>
      </c>
      <c r="AN62" s="2">
        <v>1700</v>
      </c>
      <c r="AO62" s="2">
        <v>8696</v>
      </c>
      <c r="AP62" s="2">
        <v>2.68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2">
        <v>214</v>
      </c>
      <c r="BD62" s="1" t="e">
        <f t="shared" ref="BD62:BD63" si="36">BC62/I62</f>
        <v>#DIV/0!</v>
      </c>
      <c r="BE62" s="2">
        <v>281</v>
      </c>
      <c r="BF62" s="1" t="e">
        <f t="shared" si="23"/>
        <v>#DIV/0!</v>
      </c>
      <c r="BG62" s="2">
        <v>159</v>
      </c>
      <c r="BH62" s="1" t="e">
        <f t="shared" si="24"/>
        <v>#DIV/0!</v>
      </c>
      <c r="BI62" s="2">
        <v>180</v>
      </c>
      <c r="BJ62" s="1" t="e">
        <f t="shared" si="25"/>
        <v>#DIV/0!</v>
      </c>
      <c r="BK62" s="2">
        <v>148</v>
      </c>
      <c r="BL62" s="1" t="e">
        <f t="shared" si="26"/>
        <v>#DIV/0!</v>
      </c>
      <c r="BM62" s="2">
        <v>155</v>
      </c>
      <c r="BN62" s="1" t="e">
        <f>#REF!/I62</f>
        <v>#REF!</v>
      </c>
      <c r="BO62" s="2">
        <v>152</v>
      </c>
      <c r="BP62" s="1" t="e">
        <f t="shared" si="28"/>
        <v>#DIV/0!</v>
      </c>
      <c r="BQ62" s="2">
        <v>114</v>
      </c>
      <c r="BR62" s="1" t="e">
        <f t="shared" si="29"/>
        <v>#DIV/0!</v>
      </c>
      <c r="BS62" s="2">
        <v>175</v>
      </c>
      <c r="BT62" s="1" t="e">
        <f t="shared" si="30"/>
        <v>#DIV/0!</v>
      </c>
      <c r="BU62" s="2">
        <v>175</v>
      </c>
      <c r="BV62" s="1" t="e">
        <f t="shared" si="31"/>
        <v>#DIV/0!</v>
      </c>
      <c r="BW62" s="1">
        <f t="shared" si="32"/>
        <v>1.10062893081761</v>
      </c>
      <c r="BX62" s="1">
        <f t="shared" si="33"/>
        <v>0.97222222222222221</v>
      </c>
    </row>
    <row r="63" spans="1:76" ht="14.25" customHeight="1">
      <c r="A63" s="21" t="s">
        <v>162</v>
      </c>
      <c r="B63" s="2">
        <v>56</v>
      </c>
      <c r="C63" s="2" t="s">
        <v>81</v>
      </c>
      <c r="D63" s="2"/>
      <c r="E63" s="2" t="s">
        <v>85</v>
      </c>
      <c r="F63" s="7">
        <v>39821</v>
      </c>
      <c r="G63" s="2" t="s">
        <v>144</v>
      </c>
      <c r="H63" s="2">
        <v>17</v>
      </c>
      <c r="I63" s="1"/>
      <c r="J63" s="2">
        <v>173</v>
      </c>
      <c r="K63" s="1"/>
      <c r="L63" s="1"/>
      <c r="M63" s="7">
        <v>46199</v>
      </c>
      <c r="N63" s="2">
        <v>825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9"/>
        <v>0</v>
      </c>
      <c r="Z63" s="1">
        <f t="shared" si="20"/>
        <v>0</v>
      </c>
      <c r="AA63" s="1" t="e">
        <f t="shared" si="21"/>
        <v>#DIV/0!</v>
      </c>
      <c r="AB63" s="1"/>
      <c r="AC63" s="1"/>
      <c r="AD63" s="1"/>
      <c r="AE63" s="1"/>
      <c r="AF63" s="1"/>
      <c r="AG63" s="1"/>
      <c r="AH63" s="1" t="e">
        <f t="shared" si="34"/>
        <v>#DIV/0!</v>
      </c>
      <c r="AI63" s="1"/>
      <c r="AJ63" s="1" t="e">
        <f t="shared" si="35"/>
        <v>#DIV/0!</v>
      </c>
      <c r="AK63" s="1"/>
      <c r="AL63" s="1"/>
      <c r="AM63" s="2">
        <v>34</v>
      </c>
      <c r="AN63" s="2">
        <v>1621</v>
      </c>
      <c r="AO63" s="2">
        <v>7352</v>
      </c>
      <c r="AP63" s="2">
        <v>2.89</v>
      </c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 t="e">
        <f t="shared" si="36"/>
        <v>#DIV/0!</v>
      </c>
      <c r="BE63" s="1"/>
      <c r="BF63" s="1" t="e">
        <f t="shared" si="23"/>
        <v>#DIV/0!</v>
      </c>
      <c r="BG63" s="1"/>
      <c r="BH63" s="1" t="e">
        <f t="shared" si="24"/>
        <v>#DIV/0!</v>
      </c>
      <c r="BI63" s="1"/>
      <c r="BJ63" s="1" t="e">
        <f t="shared" si="25"/>
        <v>#DIV/0!</v>
      </c>
      <c r="BK63" s="1"/>
      <c r="BL63" s="1" t="e">
        <f t="shared" si="26"/>
        <v>#DIV/0!</v>
      </c>
      <c r="BN63" s="1" t="e">
        <f>BM62/I63</f>
        <v>#DIV/0!</v>
      </c>
      <c r="BO63" s="1"/>
      <c r="BP63" s="1" t="e">
        <f t="shared" si="28"/>
        <v>#DIV/0!</v>
      </c>
      <c r="BQ63" s="1"/>
      <c r="BR63" s="1" t="e">
        <f t="shared" si="29"/>
        <v>#DIV/0!</v>
      </c>
      <c r="BS63" s="1"/>
      <c r="BT63" s="1" t="e">
        <f t="shared" si="30"/>
        <v>#DIV/0!</v>
      </c>
      <c r="BU63" s="1"/>
      <c r="BV63" s="1" t="e">
        <f t="shared" si="31"/>
        <v>#DIV/0!</v>
      </c>
      <c r="BW63" s="1" t="e">
        <f t="shared" si="32"/>
        <v>#DIV/0!</v>
      </c>
      <c r="BX63" s="1" t="e">
        <f t="shared" si="33"/>
        <v>#DIV/0!</v>
      </c>
    </row>
    <row r="64" spans="1:76" ht="14.25" customHeight="1">
      <c r="A64" s="2" t="s">
        <v>163</v>
      </c>
      <c r="B64" s="2">
        <v>73</v>
      </c>
      <c r="C64" s="2" t="s">
        <v>81</v>
      </c>
      <c r="D64" s="2"/>
      <c r="E64" s="2" t="s">
        <v>85</v>
      </c>
      <c r="F64" s="7">
        <v>39244</v>
      </c>
      <c r="G64" s="2" t="s">
        <v>117</v>
      </c>
      <c r="H64" s="2">
        <v>19</v>
      </c>
      <c r="I64" s="2">
        <v>80.099999999999994</v>
      </c>
      <c r="J64" s="2">
        <v>183</v>
      </c>
      <c r="K64" s="1"/>
      <c r="L64" s="22">
        <v>46197</v>
      </c>
      <c r="M64" s="7">
        <v>46199</v>
      </c>
      <c r="N64" s="2">
        <v>1181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9"/>
        <v>0</v>
      </c>
      <c r="Z64" s="1">
        <f t="shared" si="20"/>
        <v>0</v>
      </c>
      <c r="AA64" s="1" t="e">
        <f t="shared" si="21"/>
        <v>#DIV/0!</v>
      </c>
      <c r="AB64" s="1"/>
      <c r="AC64" s="1"/>
      <c r="AD64" s="1"/>
      <c r="AE64" s="1"/>
      <c r="AF64" s="1"/>
      <c r="AG64" s="1"/>
      <c r="AH64" s="1">
        <f t="shared" si="34"/>
        <v>0</v>
      </c>
      <c r="AI64" s="1"/>
      <c r="AJ64" s="1"/>
      <c r="AK64" s="1"/>
      <c r="AL64" s="1"/>
      <c r="AM64" s="2">
        <v>37.200000000000003</v>
      </c>
      <c r="AN64" s="2">
        <v>1817</v>
      </c>
      <c r="AO64" s="2">
        <v>7078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</row>
    <row r="65" spans="1:76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</row>
    <row r="66" spans="1:7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</row>
    <row r="67" spans="1:76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</row>
    <row r="68" spans="1:76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</row>
    <row r="69" spans="1:76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</row>
    <row r="70" spans="1:76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</row>
    <row r="71" spans="1:76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</row>
    <row r="72" spans="1:76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</row>
    <row r="73" spans="1:76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</row>
    <row r="74" spans="1:76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</row>
    <row r="75" spans="1:76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</row>
    <row r="76" spans="1: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</row>
    <row r="77" spans="1:76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</row>
    <row r="78" spans="1:76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</row>
    <row r="79" spans="1:76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</row>
    <row r="80" spans="1:76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</row>
    <row r="81" spans="1:76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</row>
    <row r="82" spans="1:76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</row>
    <row r="83" spans="1:76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</row>
    <row r="84" spans="1:76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</row>
    <row r="85" spans="1:76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</row>
    <row r="86" spans="1:7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</row>
    <row r="87" spans="1:76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</row>
    <row r="88" spans="1:76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</row>
    <row r="89" spans="1:76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</row>
    <row r="90" spans="1:76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</row>
    <row r="91" spans="1:76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</row>
    <row r="92" spans="1:7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</row>
    <row r="93" spans="1:7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</row>
    <row r="94" spans="1:7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</row>
    <row r="95" spans="1:7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</row>
    <row r="96" spans="1:7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</row>
    <row r="97" spans="1:7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</row>
    <row r="98" spans="1:7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</row>
    <row r="99" spans="1:7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</row>
    <row r="100" spans="1:7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</row>
    <row r="101" spans="1:7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</row>
    <row r="102" spans="1:7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</row>
    <row r="103" spans="1:7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</row>
    <row r="104" spans="1:7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</row>
    <row r="105" spans="1:7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</row>
    <row r="106" spans="1:7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</row>
    <row r="107" spans="1:7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</row>
    <row r="108" spans="1:7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</row>
    <row r="109" spans="1:7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</row>
    <row r="110" spans="1:7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</row>
    <row r="111" spans="1:7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</row>
    <row r="112" spans="1:7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</row>
    <row r="113" spans="1:7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</row>
    <row r="114" spans="1:7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</row>
    <row r="115" spans="1:7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</row>
    <row r="116" spans="1:7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</row>
    <row r="117" spans="1:7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</row>
    <row r="118" spans="1:7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</row>
    <row r="119" spans="1:7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</row>
    <row r="120" spans="1:7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</row>
    <row r="121" spans="1:7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</row>
    <row r="122" spans="1:7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</row>
    <row r="123" spans="1:7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</row>
    <row r="124" spans="1:7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</row>
    <row r="125" spans="1:7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</row>
    <row r="126" spans="1:7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</row>
    <row r="127" spans="1:7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</row>
    <row r="128" spans="1:7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</row>
    <row r="129" spans="1:7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</row>
    <row r="130" spans="1:7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</row>
    <row r="131" spans="1:7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</row>
    <row r="132" spans="1:7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</row>
    <row r="133" spans="1:7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</row>
    <row r="134" spans="1:7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</row>
    <row r="135" spans="1:7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</row>
    <row r="136" spans="1:7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</row>
    <row r="137" spans="1:7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</row>
    <row r="138" spans="1:7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</row>
    <row r="139" spans="1:7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</row>
    <row r="140" spans="1:7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</row>
    <row r="141" spans="1:7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</row>
    <row r="142" spans="1:7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</row>
    <row r="143" spans="1:7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</row>
    <row r="144" spans="1:7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</row>
    <row r="145" spans="1:7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</row>
    <row r="146" spans="1:7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</row>
    <row r="147" spans="1:7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</row>
    <row r="148" spans="1:7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</row>
    <row r="149" spans="1:7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</row>
    <row r="150" spans="1:7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</row>
    <row r="151" spans="1:7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</row>
    <row r="152" spans="1:7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</row>
    <row r="153" spans="1:7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</row>
    <row r="154" spans="1:7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</row>
    <row r="155" spans="1:7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</row>
    <row r="156" spans="1:7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</row>
    <row r="157" spans="1:7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</row>
    <row r="158" spans="1:7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</row>
    <row r="159" spans="1:7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</row>
    <row r="160" spans="1:7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</row>
    <row r="161" spans="1:7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</row>
    <row r="162" spans="1:7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</row>
    <row r="163" spans="1:7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</row>
    <row r="164" spans="1:7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</row>
    <row r="165" spans="1:7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</row>
    <row r="166" spans="1:7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</row>
    <row r="167" spans="1:7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</row>
    <row r="168" spans="1:7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</row>
    <row r="169" spans="1:7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</row>
    <row r="170" spans="1:7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</row>
    <row r="171" spans="1:7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</row>
    <row r="172" spans="1:7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</row>
    <row r="173" spans="1:7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</row>
    <row r="174" spans="1:7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</row>
    <row r="175" spans="1:7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</row>
    <row r="176" spans="1: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</row>
    <row r="177" spans="1:7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</row>
    <row r="178" spans="1:7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</row>
    <row r="179" spans="1:7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</row>
    <row r="180" spans="1:7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</row>
    <row r="181" spans="1:7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</row>
    <row r="182" spans="1:7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</row>
    <row r="183" spans="1:7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</row>
    <row r="184" spans="1:7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</row>
    <row r="185" spans="1:7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</row>
    <row r="186" spans="1:7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</row>
    <row r="187" spans="1:7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</row>
    <row r="188" spans="1:7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</row>
    <row r="189" spans="1:7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</row>
    <row r="190" spans="1:7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</row>
    <row r="191" spans="1:7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</row>
    <row r="192" spans="1:7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</row>
    <row r="193" spans="1:7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</row>
    <row r="194" spans="1:7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</row>
    <row r="195" spans="1:7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</row>
    <row r="196" spans="1:7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</row>
    <row r="197" spans="1:7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</row>
    <row r="198" spans="1:7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</row>
    <row r="199" spans="1:7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</row>
    <row r="200" spans="1:7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</row>
    <row r="201" spans="1:7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</row>
    <row r="202" spans="1:7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</row>
    <row r="203" spans="1:7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</row>
    <row r="204" spans="1:7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</row>
    <row r="205" spans="1:7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</row>
    <row r="206" spans="1:7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</row>
    <row r="207" spans="1:7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</row>
    <row r="208" spans="1:7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</row>
    <row r="209" spans="1:7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</row>
    <row r="210" spans="1:7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</row>
    <row r="211" spans="1:7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</row>
    <row r="212" spans="1:7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</row>
    <row r="213" spans="1:7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</row>
    <row r="214" spans="1:7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</row>
    <row r="215" spans="1:7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</row>
    <row r="216" spans="1:7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</row>
    <row r="217" spans="1:7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</row>
    <row r="218" spans="1:7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</row>
    <row r="219" spans="1:7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</row>
    <row r="220" spans="1:7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</row>
    <row r="221" spans="1:7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</row>
    <row r="222" spans="1:7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</row>
    <row r="223" spans="1:7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</row>
    <row r="224" spans="1:7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</row>
    <row r="225" spans="1:7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</row>
    <row r="226" spans="1:7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</row>
    <row r="227" spans="1:7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</row>
    <row r="228" spans="1:7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</row>
    <row r="229" spans="1:7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</row>
    <row r="230" spans="1:7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</row>
    <row r="231" spans="1:7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</row>
    <row r="232" spans="1:7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</row>
    <row r="233" spans="1:7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</row>
    <row r="234" spans="1:7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</row>
    <row r="235" spans="1:7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</row>
    <row r="236" spans="1:7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</row>
    <row r="237" spans="1:7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</row>
    <row r="238" spans="1:7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</row>
    <row r="239" spans="1:7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</row>
    <row r="240" spans="1:7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</row>
    <row r="241" spans="1:7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</row>
    <row r="242" spans="1:7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</row>
    <row r="243" spans="1:7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</row>
    <row r="244" spans="1:7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</row>
    <row r="245" spans="1:7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</row>
    <row r="246" spans="1:7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</row>
    <row r="247" spans="1:7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</row>
    <row r="248" spans="1:7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</row>
    <row r="249" spans="1:7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</row>
    <row r="250" spans="1:7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</row>
    <row r="251" spans="1:7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</row>
    <row r="252" spans="1:7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</row>
    <row r="253" spans="1:7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</row>
    <row r="254" spans="1:7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</row>
    <row r="255" spans="1:7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</row>
    <row r="256" spans="1:7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</row>
    <row r="257" spans="1:7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</row>
    <row r="258" spans="1:7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</row>
    <row r="259" spans="1:7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</row>
    <row r="260" spans="1:7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</row>
    <row r="261" spans="1:7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</row>
    <row r="262" spans="1:7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</row>
    <row r="263" spans="1:7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</row>
    <row r="264" spans="1:76" ht="14.25" customHeight="1"/>
    <row r="265" spans="1:76" ht="14.25" customHeight="1"/>
    <row r="266" spans="1:76" ht="14.25" customHeight="1"/>
    <row r="267" spans="1:76" ht="14.25" customHeight="1"/>
    <row r="268" spans="1:76" ht="14.25" customHeight="1"/>
    <row r="269" spans="1:76" ht="14.25" customHeight="1"/>
    <row r="270" spans="1:76" ht="14.25" customHeight="1"/>
    <row r="271" spans="1:76" ht="14.25" customHeight="1"/>
    <row r="272" spans="1:76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2026-06-29T15:24:17Z</dcterms:modified>
</cp:coreProperties>
</file>