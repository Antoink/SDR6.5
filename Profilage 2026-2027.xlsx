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96688A42-DC3A-4268-B91B-991C9B32CCFB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uXTfLNUGDnYsR5MMXXRz0lFzRYAHAycbwoYcL2p7G8="/>
    </ext>
  </extLst>
</workbook>
</file>

<file path=xl/calcChain.xml><?xml version="1.0" encoding="utf-8"?>
<calcChain xmlns="http://schemas.openxmlformats.org/spreadsheetml/2006/main">
  <c r="AH68" i="1" l="1"/>
  <c r="Z68" i="1"/>
  <c r="Y68" i="1"/>
  <c r="AA68" i="1" s="1"/>
  <c r="BY67" i="1"/>
  <c r="BX67" i="1"/>
  <c r="BW67" i="1"/>
  <c r="BU67" i="1"/>
  <c r="BS67" i="1"/>
  <c r="BQ67" i="1"/>
  <c r="BO67" i="1"/>
  <c r="BM67" i="1"/>
  <c r="BK67" i="1"/>
  <c r="BI67" i="1"/>
  <c r="BG67" i="1"/>
  <c r="BE67" i="1"/>
  <c r="AJ67" i="1"/>
  <c r="AH67" i="1"/>
  <c r="Z67" i="1"/>
  <c r="Y67" i="1"/>
  <c r="AA67" i="1" s="1"/>
  <c r="BY66" i="1"/>
  <c r="BX66" i="1"/>
  <c r="BW66" i="1"/>
  <c r="BU66" i="1"/>
  <c r="BS66" i="1"/>
  <c r="BQ66" i="1"/>
  <c r="BO66" i="1"/>
  <c r="BM66" i="1"/>
  <c r="BK66" i="1"/>
  <c r="BI66" i="1"/>
  <c r="BG66" i="1"/>
  <c r="BE66" i="1"/>
  <c r="AJ66" i="1"/>
  <c r="AH66" i="1"/>
  <c r="Z66" i="1"/>
  <c r="Y66" i="1"/>
  <c r="AA66" i="1" s="1"/>
  <c r="BY65" i="1"/>
  <c r="BX65" i="1"/>
  <c r="BW65" i="1"/>
  <c r="BU65" i="1"/>
  <c r="BS65" i="1"/>
  <c r="BQ65" i="1"/>
  <c r="BO65" i="1"/>
  <c r="BM65" i="1"/>
  <c r="BK65" i="1"/>
  <c r="BI65" i="1"/>
  <c r="BG65" i="1"/>
  <c r="BE65" i="1"/>
  <c r="AJ65" i="1"/>
  <c r="AH65" i="1"/>
  <c r="Z65" i="1"/>
  <c r="Y65" i="1"/>
  <c r="AA65" i="1" s="1"/>
  <c r="BY64" i="1"/>
  <c r="BX64" i="1"/>
  <c r="BW64" i="1"/>
  <c r="BU64" i="1"/>
  <c r="BS64" i="1"/>
  <c r="BQ64" i="1"/>
  <c r="BO64" i="1"/>
  <c r="BM64" i="1"/>
  <c r="BK64" i="1"/>
  <c r="BI64" i="1"/>
  <c r="BG64" i="1"/>
  <c r="BE64" i="1"/>
  <c r="AJ64" i="1"/>
  <c r="AH64" i="1"/>
  <c r="Z64" i="1"/>
  <c r="Y64" i="1"/>
  <c r="AA64" i="1" s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Z63" i="1"/>
  <c r="Y63" i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Z62" i="1"/>
  <c r="Y62" i="1"/>
  <c r="AA62" i="1" s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Z61" i="1"/>
  <c r="Y61" i="1"/>
  <c r="AA61" i="1" s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Z60" i="1"/>
  <c r="Y60" i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Z59" i="1"/>
  <c r="Y59" i="1"/>
  <c r="AA59" i="1" s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Z58" i="1"/>
  <c r="Y58" i="1"/>
  <c r="AA58" i="1" s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Z57" i="1"/>
  <c r="Y57" i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Z56" i="1"/>
  <c r="Y56" i="1"/>
  <c r="AA56" i="1" s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Z55" i="1"/>
  <c r="Y55" i="1"/>
  <c r="AA55" i="1" s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Z54" i="1"/>
  <c r="Y54" i="1"/>
  <c r="AA54" i="1" s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Z53" i="1"/>
  <c r="Y53" i="1"/>
  <c r="AA53" i="1" s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Z52" i="1"/>
  <c r="Y52" i="1"/>
  <c r="AA52" i="1" s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Y51" i="1"/>
  <c r="AA51" i="1" s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Z50" i="1"/>
  <c r="Y50" i="1"/>
  <c r="AA50" i="1" s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Y48" i="1"/>
  <c r="AA48" i="1" s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Z47" i="1"/>
  <c r="Y47" i="1"/>
  <c r="AA47" i="1" s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Z46" i="1"/>
  <c r="Y46" i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Z45" i="1"/>
  <c r="Y45" i="1"/>
  <c r="AA45" i="1" s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Y44" i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AA43" i="1" s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Z42" i="1"/>
  <c r="Y42" i="1"/>
  <c r="AA42" i="1" s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Z41" i="1"/>
  <c r="Y41" i="1"/>
  <c r="AA41" i="1" s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Z40" i="1"/>
  <c r="Y40" i="1"/>
  <c r="AA40" i="1" s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Z39" i="1"/>
  <c r="Y39" i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Z38" i="1"/>
  <c r="Y38" i="1"/>
  <c r="AA38" i="1" s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Z37" i="1"/>
  <c r="Y37" i="1"/>
  <c r="AA37" i="1" s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Z36" i="1"/>
  <c r="Y36" i="1"/>
  <c r="AA36" i="1" s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Z35" i="1"/>
  <c r="Y35" i="1"/>
  <c r="AA35" i="1" s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Z34" i="1"/>
  <c r="Y34" i="1"/>
  <c r="AA34" i="1" s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Y32" i="1"/>
  <c r="AA32" i="1" s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Z31" i="1"/>
  <c r="Y31" i="1"/>
  <c r="AA31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AJ30" i="1"/>
  <c r="AH30" i="1"/>
  <c r="Z30" i="1"/>
  <c r="Y30" i="1"/>
  <c r="BY29" i="1"/>
  <c r="BX29" i="1"/>
  <c r="BW29" i="1"/>
  <c r="BU29" i="1"/>
  <c r="BS29" i="1"/>
  <c r="BQ29" i="1"/>
  <c r="BO29" i="1"/>
  <c r="BM29" i="1"/>
  <c r="BK29" i="1"/>
  <c r="BI29" i="1"/>
  <c r="BG29" i="1"/>
  <c r="BE29" i="1"/>
  <c r="BY28" i="1"/>
  <c r="BX28" i="1"/>
  <c r="BW28" i="1"/>
  <c r="BU28" i="1"/>
  <c r="BS28" i="1"/>
  <c r="BQ28" i="1"/>
  <c r="BO28" i="1"/>
  <c r="BM28" i="1"/>
  <c r="BK28" i="1"/>
  <c r="BI28" i="1"/>
  <c r="BG28" i="1"/>
  <c r="BE28" i="1"/>
  <c r="AJ28" i="1"/>
  <c r="AH28" i="1"/>
  <c r="Z28" i="1"/>
  <c r="Y28" i="1"/>
  <c r="AA28" i="1" s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Z27" i="1"/>
  <c r="Y27" i="1"/>
  <c r="AA27" i="1" s="1"/>
  <c r="BY26" i="1"/>
  <c r="BX26" i="1"/>
  <c r="BW26" i="1"/>
  <c r="BU26" i="1"/>
  <c r="BS26" i="1"/>
  <c r="BQ26" i="1"/>
  <c r="BO26" i="1"/>
  <c r="BM26" i="1"/>
  <c r="BK26" i="1"/>
  <c r="BI26" i="1"/>
  <c r="BG26" i="1"/>
  <c r="BE26" i="1"/>
  <c r="AJ26" i="1"/>
  <c r="AH26" i="1"/>
  <c r="Z26" i="1"/>
  <c r="Y26" i="1"/>
  <c r="AA26" i="1" s="1"/>
  <c r="BY25" i="1"/>
  <c r="BX25" i="1"/>
  <c r="BW25" i="1"/>
  <c r="BU25" i="1"/>
  <c r="BS25" i="1"/>
  <c r="BQ25" i="1"/>
  <c r="BO25" i="1"/>
  <c r="BM25" i="1"/>
  <c r="BK25" i="1"/>
  <c r="BI25" i="1"/>
  <c r="BG25" i="1"/>
  <c r="BE25" i="1"/>
  <c r="Z25" i="1"/>
  <c r="Y25" i="1"/>
  <c r="AA25" i="1" s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J24" i="1"/>
  <c r="AH24" i="1"/>
  <c r="Z24" i="1"/>
  <c r="Y24" i="1"/>
  <c r="AA24" i="1" s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Z23" i="1"/>
  <c r="Y23" i="1"/>
  <c r="BY22" i="1"/>
  <c r="BX22" i="1"/>
  <c r="BW22" i="1"/>
  <c r="BU22" i="1"/>
  <c r="BS22" i="1"/>
  <c r="BQ22" i="1"/>
  <c r="BO22" i="1"/>
  <c r="BM22" i="1"/>
  <c r="BK22" i="1"/>
  <c r="BI22" i="1"/>
  <c r="BG22" i="1"/>
  <c r="BE22" i="1"/>
  <c r="AJ22" i="1"/>
  <c r="AH22" i="1"/>
  <c r="Z22" i="1"/>
  <c r="Y22" i="1"/>
  <c r="AA22" i="1" s="1"/>
  <c r="BY21" i="1"/>
  <c r="BX21" i="1"/>
  <c r="BW21" i="1"/>
  <c r="BU21" i="1"/>
  <c r="BS21" i="1"/>
  <c r="BQ21" i="1"/>
  <c r="BO21" i="1"/>
  <c r="BM21" i="1"/>
  <c r="BK21" i="1"/>
  <c r="BI21" i="1"/>
  <c r="BG21" i="1"/>
  <c r="BE21" i="1"/>
  <c r="Z21" i="1"/>
  <c r="Y21" i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O20" i="1"/>
  <c r="AN20" i="1"/>
  <c r="Z20" i="1"/>
  <c r="Y20" i="1"/>
  <c r="AA20" i="1" s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Z19" i="1"/>
  <c r="Y19" i="1"/>
  <c r="BY18" i="1"/>
  <c r="BX18" i="1"/>
  <c r="BW18" i="1"/>
  <c r="BU18" i="1"/>
  <c r="BS18" i="1"/>
  <c r="BQ18" i="1"/>
  <c r="BO18" i="1"/>
  <c r="BM18" i="1"/>
  <c r="BK18" i="1"/>
  <c r="BI18" i="1"/>
  <c r="BG18" i="1"/>
  <c r="BE18" i="1"/>
  <c r="AJ18" i="1"/>
  <c r="AH18" i="1"/>
  <c r="Z18" i="1"/>
  <c r="Y18" i="1"/>
  <c r="AA18" i="1" s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Z17" i="1"/>
  <c r="Y17" i="1"/>
  <c r="AA17" i="1" s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Z16" i="1"/>
  <c r="Y16" i="1"/>
  <c r="AA16" i="1" s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Y15" i="1"/>
  <c r="AA15" i="1" s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Y14" i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Y13" i="1"/>
  <c r="AA13" i="1" s="1"/>
  <c r="BY12" i="1"/>
  <c r="BX12" i="1"/>
  <c r="BW12" i="1"/>
  <c r="BU12" i="1"/>
  <c r="BS12" i="1"/>
  <c r="BQ12" i="1"/>
  <c r="BO12" i="1"/>
  <c r="BM12" i="1"/>
  <c r="BK12" i="1"/>
  <c r="BI12" i="1"/>
  <c r="BG12" i="1"/>
  <c r="BE12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AA11" i="1"/>
  <c r="Z11" i="1"/>
  <c r="Y11" i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Z10" i="1"/>
  <c r="Y10" i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Z9" i="1"/>
  <c r="Y9" i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Y8" i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AA7" i="1" s="1"/>
  <c r="Y7" i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Z6" i="1"/>
  <c r="Y6" i="1"/>
  <c r="AA6" i="1" s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Y5" i="1"/>
  <c r="AA5" i="1" s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Z4" i="1"/>
  <c r="Y4" i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Z3" i="1"/>
  <c r="Y3" i="1"/>
  <c r="AA3" i="1" s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Z2" i="1"/>
  <c r="Y2" i="1"/>
  <c r="AA2" i="1" s="1"/>
  <c r="AA30" i="1" l="1"/>
  <c r="AA14" i="1"/>
  <c r="AA57" i="1"/>
  <c r="AA19" i="1"/>
  <c r="AA60" i="1"/>
  <c r="AA63" i="1"/>
  <c r="AA4" i="1"/>
  <c r="AA8" i="1"/>
  <c r="AA9" i="1"/>
  <c r="AA10" i="1"/>
  <c r="AA23" i="1"/>
  <c r="AA21" i="1"/>
  <c r="AA39" i="1"/>
  <c r="AA44" i="1"/>
  <c r="AA46" i="1"/>
</calcChain>
</file>

<file path=xl/sharedStrings.xml><?xml version="1.0" encoding="utf-8"?>
<sst xmlns="http://schemas.openxmlformats.org/spreadsheetml/2006/main" count="629" uniqueCount="208">
  <si>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</si>
  <si>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</si>
  <si>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</si>
  <si>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</si>
  <si>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</si>
  <si>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</si>
  <si>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</si>
  <si>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</si>
  <si>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</si>
  <si>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</si>
  <si>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</si>
  <si>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</si>
  <si>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</si>
  <si>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</si>
  <si>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</si>
  <si>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</si>
  <si>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</si>
  <si>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</si>
  <si>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</si>
  <si>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</si>
  <si>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</si>
  <si>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</si>
  <si>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</si>
  <si>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</si>
  <si>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</si>
  <si>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</si>
  <si>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</si>
  <si>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</si>
  <si>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</si>
  <si>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</si>
  <si>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</si>
  <si>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</si>
  <si>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</si>
  <si>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</si>
  <si>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</si>
  <si>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</si>
  <si>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</si>
  <si>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</si>
  <si>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</si>
  <si>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</si>
  <si>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</si>
  <si>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</si>
  <si>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</si>
  <si>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</si>
  <si>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</si>
  <si>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</si>
  <si>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</si>
  <si>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</si>
  <si>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</si>
  <si>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</si>
  <si>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</si>
  <si>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</si>
  <si>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</si>
  <si>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</si>
  <si>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</si>
  <si>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</si>
  <si>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</si>
  <si>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</si>
  <si>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</si>
  <si>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</si>
  <si>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</si>
  <si>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</si>
  <si>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</si>
  <si>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</si>
  <si>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</si>
  <si>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</si>
  <si>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</si>
  <si>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</si>
  <si>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</si>
  <si>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</si>
  <si>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</si>
  <si>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</si>
  <si>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</si>
  <si>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</si>
  <si>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</si>
  <si>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</si>
  <si>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</si>
  <si>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</si>
  <si>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</si>
  <si>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</si>
  <si>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</si>
  <si>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</si>
  <si>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</si>
  <si>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</si>
  <si>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</si>
  <si>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</si>
  <si>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</si>
  <si>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</si>
  <si>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</si>
  <si>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</si>
  <si>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</si>
  <si>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</si>
  <si>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</si>
  <si>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</si>
  <si>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</si>
  <si>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</si>
  <si>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</si>
  <si>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</si>
  <si>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</si>
  <si>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</si>
  <si>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</si>
  <si>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</si>
  <si>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</si>
  <si>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</si>
  <si>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</si>
  <si>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</si>
  <si>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</si>
  <si>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</si>
  <si>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NTAMON Elie</t>
  </si>
  <si>
    <t>OKUMU Joseph</t>
  </si>
  <si>
    <t xml:space="preserve">OMERAGIC Edin </t>
  </si>
  <si>
    <t>OTOMEWO John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</si>
  <si>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</si>
  <si>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</si>
  <si>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</si>
  <si>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</si>
  <si>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</si>
  <si>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</si>
  <si>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</si>
  <si>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</si>
  <si>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</si>
  <si>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</si>
  <si>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</si>
  <si>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</si>
  <si>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</si>
  <si>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</si>
  <si>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</si>
  <si>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</si>
  <si>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</si>
  <si>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</si>
  <si>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</si>
  <si>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</si>
  <si>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</si>
  <si>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</si>
  <si>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</si>
  <si>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</si>
  <si>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</si>
  <si>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</si>
  <si>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 Justin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</si>
  <si>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</si>
  <si>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</si>
  <si>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</si>
  <si>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</si>
  <si>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</si>
  <si>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</si>
  <si>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</si>
  <si>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</si>
  <si>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</si>
  <si>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</si>
  <si>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</si>
  <si>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</si>
  <si>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</si>
  <si>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</si>
  <si>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</si>
  <si>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</si>
  <si>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?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</si>
  <si>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</si>
  <si>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</si>
  <si>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</si>
  <si>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</si>
  <si>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</si>
  <si>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</si>
  <si>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</si>
  <si>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</si>
  <si>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</si>
  <si>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</si>
  <si>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Pré-Saison</t>
  </si>
  <si>
    <t>Isak_triceps</t>
  </si>
  <si>
    <t>Isak_sousscapulaire</t>
  </si>
  <si>
    <t>Isak_biceps</t>
  </si>
  <si>
    <t>Isak_crete</t>
  </si>
  <si>
    <t>Isak_supraspinale</t>
  </si>
  <si>
    <t>Isak_abdominal</t>
  </si>
  <si>
    <t>Isak_cuisse</t>
  </si>
  <si>
    <t>Isak_jambe</t>
  </si>
  <si>
    <t>3.5</t>
  </si>
  <si>
    <t>4.5</t>
  </si>
  <si>
    <t>8.5</t>
  </si>
  <si>
    <t>9.5</t>
  </si>
  <si>
    <t>1.5</t>
  </si>
  <si>
    <t>6.5</t>
  </si>
  <si>
    <t>2.5</t>
  </si>
  <si>
    <t>7.5</t>
  </si>
  <si>
    <t>5.5</t>
  </si>
  <si>
    <t>10.5</t>
  </si>
  <si>
    <t>11.5</t>
  </si>
  <si>
    <t>14.5</t>
  </si>
  <si>
    <t>Pied départ 1080</t>
  </si>
  <si>
    <t>Distance 1080 (m)</t>
  </si>
  <si>
    <t>Resistance 1080 (kg)</t>
  </si>
  <si>
    <t>Temps total 1080 (s)</t>
  </si>
  <si>
    <t>Temps 0-5 1080 (s)</t>
  </si>
  <si>
    <t>Amax 1080 (m/s²)</t>
  </si>
  <si>
    <t>Pmax 1080 (W/Kg)</t>
  </si>
  <si>
    <t>Pmax 1080 (W)</t>
  </si>
  <si>
    <t>Vmax 15m 1080 (m/s)</t>
  </si>
  <si>
    <t>Vmax 15m 1080 (Km/h)</t>
  </si>
  <si>
    <t>%Vmax 15m 1080</t>
  </si>
  <si>
    <t>Tau 1080 (s)</t>
  </si>
  <si>
    <t>T90 1080 (s)</t>
  </si>
  <si>
    <t>D90 1080 (m)</t>
  </si>
  <si>
    <t>Momentum 1080 (Kg*m/s)</t>
  </si>
  <si>
    <t>F0 1080 (N/kg)</t>
  </si>
  <si>
    <t>F0 1080 (N)</t>
  </si>
  <si>
    <t>V0 1080 (m/s)</t>
  </si>
  <si>
    <t>V0 1080 (Km/h)</t>
  </si>
  <si>
    <t>Unloaded Speed 1080 (m/s)</t>
  </si>
  <si>
    <t>Unloaded Speed 1080 (Km/h)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</si>
</sst>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12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rgb="FF000000"/>
      <name val="&quot;\0022Aptos Narrow\0022&quot;"/>
    </font>
    <font>
      <sz val="11"/>
      <color rgb="FF000000"/>
      <name val="Arial"/>
    </font>
    <font>
      <sz val="11"/>
      <color rgb="FF000000"/>
      <name val="&quot;Aptos Narrow&quot;"/>
    </font>
    <font>
      <b/>
      <sz val="11"/>
      <color theme="1"/>
      <name val="Arial"/>
    </font>
    <font>
      <sz val="11"/>
      <color theme="1"/>
      <name val="Arial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85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164" fontId="7" fillId="2" borderId="1" xfId="0" applyNumberFormat="1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14" fontId="7" fillId="3" borderId="1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4" fontId="7" fillId="2" borderId="1" xfId="0" applyNumberFormat="1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164" fontId="7" fillId="3" borderId="1" xfId="0" applyNumberFormat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8" fillId="2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1" fillId="4" borderId="3" xfId="0" applyFont="1" applyFill="1" applyBorder="1" applyAlignment="1">
      <alignment wrapText="1"/>
    </xf>
    <xf numFmtId="0" fontId="1" fillId="5" borderId="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vertical="center" wrapText="1"/>
    </xf>
    <xf numFmtId="0" fontId="10" fillId="5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wrapText="1"/>
    </xf>
    <xf numFmtId="0" fontId="1" fillId="4" borderId="3" xfId="0" applyFont="1" applyFill="1" applyBorder="1" applyAlignment="1">
      <alignment wrapText="1"/>
    </xf>
    <xf numFmtId="10" fontId="1" fillId="5" borderId="3" xfId="0" applyNumberFormat="1" applyFont="1" applyFill="1" applyBorder="1" applyAlignment="1">
      <alignment horizontal="center" vertical="center" wrapText="1"/>
    </xf>
    <xf numFmtId="10" fontId="1" fillId="6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DB267">
  <tableColumns count="106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 (s)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  <tableColumn id="78" xr3:uid="{7A020821-E70F-42E7-AB03-8306A0DF6672}" name="Isak_triceps"/>
    <tableColumn id="79" xr3:uid="{0B7AE4AD-5213-427C-ADBC-E3FED1954659}" name="Isak_sousscapulaire"/>
    <tableColumn id="80" xr3:uid="{F47AAFDA-99D3-48E5-8664-286472972A70}" name="Isak_biceps"/>
    <tableColumn id="81" xr3:uid="{C1FA74EC-640E-4508-813C-1DC3F8453A6C}" name="Isak_crete"/>
    <tableColumn id="82" xr3:uid="{ACFF4ACB-1401-4A2D-83C6-D6754BEC0F26}" name="Isak_supraspinale"/>
    <tableColumn id="83" xr3:uid="{02DB2610-B3D4-433D-86A3-92860BD2240F}" name="Isak_abdominal"/>
    <tableColumn id="84" xr3:uid="{5F298782-F54B-49B8-AEC5-EA07655D89C5}" name="Isak_cuisse"/>
    <tableColumn id="85" xr3:uid="{F60171C2-BF81-4572-94EE-DCA0A7871F65}" name="Isak_jambe"/>
    <tableColumn id="86" xr3:uid="{4365845B-6CF6-48BD-92E3-96761040B395}" name="Pied départ 1080"/>
    <tableColumn id="87" xr3:uid="{54F6E1CC-BD73-4E4F-972A-E7E6C87E079F}" name="Distance 1080 (m)"/>
    <tableColumn id="88" xr3:uid="{3A9489D8-EA53-4CC4-93D8-E6D855663BDB}" name="Resistance 1080 (kg)"/>
    <tableColumn id="89" xr3:uid="{E6DF0D4C-5E3A-4FDE-8CC6-A08EDB2EE3C2}" name="Temps total 1080 (s)"/>
    <tableColumn id="90" xr3:uid="{09C0D654-7F24-41A9-970D-B28CCF31D8F0}" name="Temps 0-5 1080 (s)"/>
    <tableColumn id="91" xr3:uid="{584F20B9-A44C-41C9-B4F7-A50941871ACE}" name="Amax 1080 (m/s²)"/>
    <tableColumn id="92" xr3:uid="{82647CE4-35AB-473E-9B68-3BDC0DB180CA}" name="Pmax 1080 (W/Kg)"/>
    <tableColumn id="93" xr3:uid="{8D1876EC-C63F-41DC-8CE3-65265E5CA9C3}" name="Pmax 1080 (W)"/>
    <tableColumn id="94" xr3:uid="{E40F0CEB-8A24-46E2-A3C2-73E0AA87174C}" name="Vmax 15m 1080 (m/s)"/>
    <tableColumn id="95" xr3:uid="{B355F14D-4F16-4FDC-BF17-7366A5D1C1B6}" name="Vmax 15m 1080 (Km/h)"/>
    <tableColumn id="96" xr3:uid="{D383E442-001A-426F-ACF5-60D90FC48946}" name="%Vmax 15m 1080"/>
    <tableColumn id="97" xr3:uid="{4B88080F-6AD2-4A47-B214-8BC8A46F8BD4}" name="Tau 1080 (s)"/>
    <tableColumn id="98" xr3:uid="{19D7FA5C-5398-4B64-BB57-4C2FB4190FA1}" name="T90 1080 (s)"/>
    <tableColumn id="99" xr3:uid="{5ED71A28-A01E-427E-AADC-580358BEDA76}" name="D90 1080 (m)"/>
    <tableColumn id="100" xr3:uid="{B5BED70C-6CDE-46B3-A752-7501B5F18A66}" name="Momentum 1080 (Kg*m/s)"/>
    <tableColumn id="101" xr3:uid="{F1E45C2C-13A9-47FD-AE76-C28404E2777E}" name="F0 1080 (N/kg)"/>
    <tableColumn id="102" xr3:uid="{E325E3B7-80DA-4A60-93C2-3C0812DC603D}" name="F0 1080 (N)"/>
    <tableColumn id="103" xr3:uid="{5E4971BD-A6BC-413F-A7A8-B4F4E3BF3016}" name="V0 1080 (m/s)"/>
    <tableColumn id="104" xr3:uid="{24781DDF-7DEF-4498-B49D-EE388FE6C738}" name="V0 1080 (Km/h)"/>
    <tableColumn id="105" xr3:uid="{ED962F07-944E-4BB8-BD5C-32BF3FD54913}" name="Unloaded Speed 1080 (m/s)"/>
    <tableColumn id="106" xr3:uid="{55ABD664-1A8B-49F9-A34A-1AE024381E73}" name="Unloaded Speed 1080 (Km/h)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007"/>
  <sheetViews>
    <sheetView tabSelected="1" zoomScale="89" workbookViewId="0">
      <pane xSplit="1" ySplit="1" topLeftCell="CE2" activePane="bottomRight" state="frozen"/>
      <selection pane="topRight" activeCell="B1" sqref="B1"/>
      <selection pane="bottomLeft" activeCell="A2" sqref="A2"/>
      <selection pane="bottomRight" activeCell="CH1" sqref="CH1:DB19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2" width="13.36328125" bestFit="1" customWidth="1"/>
    <col min="13" max="13" width="11.08984375" bestFit="1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7" width="13.453125" customWidth="1"/>
    <col min="94" max="94" width="20.90625" bestFit="1" customWidth="1"/>
  </cols>
  <sheetData>
    <row r="1" spans="1:106" ht="14.25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0" t="s">
        <v>167</v>
      </c>
      <c r="CA1" s="30" t="s">
        <v>168</v>
      </c>
      <c r="CB1" s="30" t="s">
        <v>169</v>
      </c>
      <c r="CC1" s="30" t="s">
        <v>170</v>
      </c>
      <c r="CD1" s="30" t="s">
        <v>171</v>
      </c>
      <c r="CE1" s="30" t="s">
        <v>172</v>
      </c>
      <c r="CF1" s="30" t="s">
        <v>173</v>
      </c>
      <c r="CG1" s="30" t="s">
        <v>174</v>
      </c>
      <c r="CH1" s="37" t="s">
        <v>187</v>
      </c>
      <c r="CI1" s="37" t="s">
        <v>188</v>
      </c>
      <c r="CJ1" s="37" t="s">
        <v>189</v>
      </c>
      <c r="CK1" s="37" t="s">
        <v>190</v>
      </c>
      <c r="CL1" s="37" t="s">
        <v>191</v>
      </c>
      <c r="CM1" s="38" t="s">
        <v>192</v>
      </c>
      <c r="CN1" s="37" t="s">
        <v>193</v>
      </c>
      <c r="CO1" s="37" t="s">
        <v>194</v>
      </c>
      <c r="CP1" s="37" t="s">
        <v>195</v>
      </c>
      <c r="CQ1" s="37" t="s">
        <v>196</v>
      </c>
      <c r="CR1" s="37" t="s">
        <v>197</v>
      </c>
      <c r="CS1" s="37" t="s">
        <v>198</v>
      </c>
      <c r="CT1" s="37" t="s">
        <v>199</v>
      </c>
      <c r="CU1" s="37" t="s">
        <v>200</v>
      </c>
      <c r="CV1" s="37" t="s">
        <v>201</v>
      </c>
      <c r="CW1" s="37" t="s">
        <v>202</v>
      </c>
      <c r="CX1" s="37" t="s">
        <v>203</v>
      </c>
      <c r="CY1" s="37" t="s">
        <v>204</v>
      </c>
      <c r="CZ1" s="37" t="s">
        <v>205</v>
      </c>
      <c r="DA1" s="37" t="s">
        <v>206</v>
      </c>
      <c r="DB1" s="37" t="s">
        <v>207</v>
      </c>
    </row>
    <row r="2" spans="1:106" ht="14.25" customHeight="1" thickBot="1">
      <c r="A2" s="5" t="s">
        <v>77</v>
      </c>
      <c r="B2" s="6">
        <v>18</v>
      </c>
      <c r="C2" s="6" t="s">
        <v>78</v>
      </c>
      <c r="D2" s="6" t="s">
        <v>79</v>
      </c>
      <c r="E2" s="6" t="s">
        <v>80</v>
      </c>
      <c r="F2" s="7">
        <v>35780</v>
      </c>
      <c r="G2" s="8" t="s">
        <v>81</v>
      </c>
      <c r="H2" s="5">
        <v>28</v>
      </c>
      <c r="I2" s="2">
        <v>75.599999999999994</v>
      </c>
      <c r="J2" s="2">
        <v>173.2</v>
      </c>
      <c r="K2" s="2">
        <v>33</v>
      </c>
      <c r="L2" s="9">
        <v>46209</v>
      </c>
      <c r="M2" s="9" t="s">
        <v>166</v>
      </c>
      <c r="N2" s="2">
        <v>1248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2">
        <v>6232</v>
      </c>
      <c r="AR2" s="2">
        <v>13.8</v>
      </c>
      <c r="AS2" s="2">
        <v>16.5</v>
      </c>
      <c r="AT2" s="1"/>
      <c r="AU2" s="2">
        <v>16.5</v>
      </c>
      <c r="AV2" s="2">
        <v>208</v>
      </c>
      <c r="AW2" s="1"/>
      <c r="AX2" s="1"/>
      <c r="AY2" s="1"/>
      <c r="AZ2" s="1"/>
      <c r="BA2" s="1"/>
      <c r="BB2" s="1"/>
      <c r="BC2" s="1"/>
      <c r="BD2" s="2">
        <v>211</v>
      </c>
      <c r="BE2" s="1">
        <f>BD2/$I$2</f>
        <v>2.7910052910052912</v>
      </c>
      <c r="BF2" s="2">
        <v>228</v>
      </c>
      <c r="BG2" s="1">
        <f t="shared" ref="BG2:BG67" si="5">BF2/I2</f>
        <v>3.0158730158730163</v>
      </c>
      <c r="BH2" s="2">
        <v>183</v>
      </c>
      <c r="BI2" s="1">
        <f t="shared" ref="BI2:BI67" si="6">BH2/I2</f>
        <v>2.4206349206349209</v>
      </c>
      <c r="BJ2" s="2">
        <v>156</v>
      </c>
      <c r="BK2" s="1">
        <f t="shared" ref="BK2:BK67" si="7">BJ2/I2</f>
        <v>2.0634920634920637</v>
      </c>
      <c r="BL2" s="2">
        <v>136</v>
      </c>
      <c r="BM2" s="1">
        <f t="shared" ref="BM2:BM67" si="8">BL2/I2</f>
        <v>1.7989417989417991</v>
      </c>
      <c r="BN2" s="2">
        <v>136</v>
      </c>
      <c r="BO2" s="1">
        <f t="shared" ref="BO2:BO67" si="9">BN2/I2</f>
        <v>1.7989417989417991</v>
      </c>
      <c r="BP2" s="2">
        <v>134</v>
      </c>
      <c r="BQ2" s="1">
        <f t="shared" ref="BQ2:BQ67" si="10">BP2/I2</f>
        <v>1.7724867724867726</v>
      </c>
      <c r="BR2" s="2">
        <v>117</v>
      </c>
      <c r="BS2" s="1">
        <f t="shared" ref="BS2:BS67" si="11">BR2/I2</f>
        <v>1.5476190476190477</v>
      </c>
      <c r="BT2" s="2">
        <v>134</v>
      </c>
      <c r="BU2" s="1">
        <f t="shared" ref="BU2:BU67" si="12">BT2/I2</f>
        <v>1.7724867724867726</v>
      </c>
      <c r="BV2" s="2">
        <v>152</v>
      </c>
      <c r="BW2" s="1">
        <f t="shared" ref="BW2:BW8" si="13">BV2/I2</f>
        <v>2.0105820105820107</v>
      </c>
      <c r="BX2" s="1">
        <f t="shared" ref="BX2:BX67" si="14">BT2/BH2</f>
        <v>0.73224043715846998</v>
      </c>
      <c r="BY2" s="1">
        <f t="shared" ref="BY2:BY8" si="15">BV2/BJ2</f>
        <v>0.97435897435897434</v>
      </c>
      <c r="BZ2" s="31">
        <v>5</v>
      </c>
      <c r="CA2" s="31">
        <v>7</v>
      </c>
      <c r="CB2" s="31">
        <v>2</v>
      </c>
      <c r="CC2" s="31" t="s">
        <v>175</v>
      </c>
      <c r="CD2" s="31">
        <v>3</v>
      </c>
      <c r="CE2" s="31" t="s">
        <v>176</v>
      </c>
      <c r="CF2" s="31" t="s">
        <v>176</v>
      </c>
      <c r="CG2" s="31" t="s">
        <v>175</v>
      </c>
      <c r="CH2" s="31" t="s">
        <v>83</v>
      </c>
      <c r="CI2" s="31">
        <v>15</v>
      </c>
      <c r="CJ2" s="31">
        <v>2</v>
      </c>
      <c r="CK2" s="31">
        <v>2.66</v>
      </c>
      <c r="CL2" s="31">
        <v>1.27</v>
      </c>
      <c r="CM2" s="31">
        <v>7.26</v>
      </c>
      <c r="CN2" s="31">
        <v>19.36</v>
      </c>
      <c r="CO2" s="31">
        <v>1463.616</v>
      </c>
      <c r="CP2" s="31">
        <v>7.7</v>
      </c>
      <c r="CQ2" s="31">
        <v>27.72</v>
      </c>
      <c r="CR2" s="31" t="e">
        <v>#DIV/0!</v>
      </c>
      <c r="CS2" s="31">
        <v>1.05</v>
      </c>
      <c r="CT2" s="31">
        <v>2.35</v>
      </c>
      <c r="CU2" s="31">
        <v>12.18</v>
      </c>
      <c r="CV2" s="31">
        <v>632</v>
      </c>
      <c r="CW2" s="31">
        <v>8.58</v>
      </c>
      <c r="CX2" s="31">
        <v>648.64800000000002</v>
      </c>
      <c r="CY2" s="31">
        <v>9.0299999999999994</v>
      </c>
      <c r="CZ2" s="31">
        <v>32.508000000000003</v>
      </c>
      <c r="DA2" s="31">
        <v>8.73</v>
      </c>
      <c r="DB2" s="31">
        <v>31.428000000000001</v>
      </c>
    </row>
    <row r="3" spans="1:106" ht="14.25" customHeight="1" thickBot="1">
      <c r="A3" s="10" t="s">
        <v>82</v>
      </c>
      <c r="B3" s="10">
        <v>27</v>
      </c>
      <c r="C3" s="10" t="s">
        <v>83</v>
      </c>
      <c r="D3" s="10" t="s">
        <v>84</v>
      </c>
      <c r="E3" s="10" t="s">
        <v>85</v>
      </c>
      <c r="F3" s="11">
        <v>38135</v>
      </c>
      <c r="G3" s="12" t="s">
        <v>81</v>
      </c>
      <c r="H3" s="13">
        <v>22</v>
      </c>
      <c r="I3" s="2">
        <v>70.8</v>
      </c>
      <c r="J3" s="2">
        <v>186</v>
      </c>
      <c r="K3" s="1"/>
      <c r="L3" s="9">
        <v>46209</v>
      </c>
      <c r="M3" s="9" t="s">
        <v>166</v>
      </c>
      <c r="N3" s="2">
        <v>1105</v>
      </c>
      <c r="O3" s="2">
        <v>39</v>
      </c>
      <c r="P3" s="2">
        <v>38</v>
      </c>
      <c r="Q3" s="2">
        <v>11.8</v>
      </c>
      <c r="R3" s="2">
        <v>11.9</v>
      </c>
      <c r="S3" s="2">
        <v>13.7</v>
      </c>
      <c r="T3" s="2">
        <v>15.2</v>
      </c>
      <c r="U3" s="2">
        <v>24</v>
      </c>
      <c r="V3" s="2">
        <v>21.9</v>
      </c>
      <c r="W3" s="2">
        <v>20.8</v>
      </c>
      <c r="X3" s="2">
        <v>22.1</v>
      </c>
      <c r="Y3" s="1">
        <f t="shared" si="0"/>
        <v>45.9</v>
      </c>
      <c r="Z3" s="1">
        <f t="shared" si="1"/>
        <v>42.900000000000006</v>
      </c>
      <c r="AA3" s="1">
        <f t="shared" si="2"/>
        <v>1.0699300699300698</v>
      </c>
      <c r="AB3" s="2">
        <v>19</v>
      </c>
      <c r="AC3" s="2">
        <v>20</v>
      </c>
      <c r="AD3" s="2">
        <v>7.5</v>
      </c>
      <c r="AE3" s="2">
        <v>7.5</v>
      </c>
      <c r="AF3" s="2">
        <v>37</v>
      </c>
      <c r="AG3" s="1"/>
      <c r="AH3" s="1">
        <f t="shared" si="3"/>
        <v>0</v>
      </c>
      <c r="AI3" s="1"/>
      <c r="AJ3" s="1">
        <f t="shared" si="4"/>
        <v>0</v>
      </c>
      <c r="AK3" s="1"/>
      <c r="AL3" s="1"/>
      <c r="AM3" s="2">
        <v>38</v>
      </c>
      <c r="AN3" s="2">
        <v>1836</v>
      </c>
      <c r="AO3" s="2">
        <v>9902</v>
      </c>
      <c r="AP3" s="2">
        <v>2.09</v>
      </c>
      <c r="AQ3" s="1"/>
      <c r="AR3" s="14">
        <v>13</v>
      </c>
      <c r="AS3" s="14">
        <v>16.399999999999999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</v>
      </c>
      <c r="BE3" s="1">
        <f t="shared" ref="BE3:BE64" si="16">BD3/I3</f>
        <v>3.7429378531073447</v>
      </c>
      <c r="BF3" s="2">
        <v>281</v>
      </c>
      <c r="BG3" s="1">
        <f t="shared" si="5"/>
        <v>3.9689265536723166</v>
      </c>
      <c r="BH3" s="2">
        <v>170</v>
      </c>
      <c r="BI3" s="1">
        <f t="shared" si="6"/>
        <v>2.4011299435028248</v>
      </c>
      <c r="BJ3" s="2">
        <v>171</v>
      </c>
      <c r="BK3" s="1">
        <f t="shared" si="7"/>
        <v>2.4152542372881358</v>
      </c>
      <c r="BL3" s="2">
        <v>145</v>
      </c>
      <c r="BM3" s="1">
        <f t="shared" si="8"/>
        <v>2.0480225988700567</v>
      </c>
      <c r="BN3" s="2">
        <v>155</v>
      </c>
      <c r="BO3" s="1">
        <f t="shared" si="9"/>
        <v>2.1892655367231639</v>
      </c>
      <c r="BP3" s="2">
        <v>123</v>
      </c>
      <c r="BQ3" s="1">
        <f t="shared" si="10"/>
        <v>1.7372881355932204</v>
      </c>
      <c r="BR3" s="2">
        <v>111</v>
      </c>
      <c r="BS3" s="1">
        <f t="shared" si="11"/>
        <v>1.5677966101694916</v>
      </c>
      <c r="BT3" s="2">
        <v>182</v>
      </c>
      <c r="BU3" s="1">
        <f t="shared" si="12"/>
        <v>2.5706214689265536</v>
      </c>
      <c r="BV3" s="2">
        <v>194</v>
      </c>
      <c r="BW3" s="1">
        <f t="shared" si="13"/>
        <v>2.7401129943502824</v>
      </c>
      <c r="BX3" s="1">
        <f t="shared" si="14"/>
        <v>1.0705882352941176</v>
      </c>
      <c r="BY3" s="1">
        <f t="shared" si="15"/>
        <v>1.1345029239766082</v>
      </c>
      <c r="BZ3" s="32"/>
      <c r="CA3" s="32"/>
      <c r="CB3" s="32"/>
      <c r="CC3" s="32"/>
      <c r="CD3" s="32"/>
      <c r="CE3" s="32"/>
      <c r="CF3" s="32"/>
      <c r="CG3" s="32"/>
      <c r="CH3" s="32"/>
      <c r="CI3" s="32"/>
      <c r="CJ3" s="32"/>
      <c r="CK3" s="32"/>
      <c r="CL3" s="32"/>
      <c r="CM3" s="32"/>
      <c r="CN3" s="32"/>
      <c r="CO3" s="32"/>
      <c r="CP3" s="32"/>
      <c r="CQ3" s="32"/>
      <c r="CR3" s="33" t="e">
        <v>#DIV/0!</v>
      </c>
      <c r="CS3" s="32"/>
      <c r="CT3" s="32"/>
      <c r="CU3" s="32"/>
      <c r="CV3" s="32"/>
      <c r="CW3" s="32"/>
      <c r="CX3" s="32"/>
      <c r="CY3" s="32"/>
      <c r="CZ3" s="32"/>
      <c r="DA3" s="32"/>
      <c r="DB3" s="32"/>
    </row>
    <row r="4" spans="1:106" ht="14.25" customHeight="1" thickBot="1">
      <c r="A4" s="6" t="s">
        <v>86</v>
      </c>
      <c r="B4" s="6">
        <v>9</v>
      </c>
      <c r="C4" s="6" t="s">
        <v>83</v>
      </c>
      <c r="D4" s="6" t="s">
        <v>84</v>
      </c>
      <c r="E4" s="6" t="s">
        <v>87</v>
      </c>
      <c r="F4" s="15">
        <v>37263</v>
      </c>
      <c r="G4" s="8" t="s">
        <v>81</v>
      </c>
      <c r="H4" s="5">
        <v>24</v>
      </c>
      <c r="I4" s="2">
        <v>80.7</v>
      </c>
      <c r="J4" s="2">
        <v>179.5</v>
      </c>
      <c r="K4" s="2">
        <v>60</v>
      </c>
      <c r="L4" s="1"/>
      <c r="M4" s="9" t="s">
        <v>166</v>
      </c>
      <c r="N4" s="2">
        <v>1318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18.600000000000001</v>
      </c>
      <c r="X4" s="2">
        <v>21.1</v>
      </c>
      <c r="Y4" s="1">
        <f t="shared" si="0"/>
        <v>47.7</v>
      </c>
      <c r="Z4" s="1">
        <f t="shared" si="1"/>
        <v>39.700000000000003</v>
      </c>
      <c r="AA4" s="1">
        <f t="shared" si="2"/>
        <v>1.2015113350125946</v>
      </c>
      <c r="AB4" s="2">
        <v>15</v>
      </c>
      <c r="AC4" s="2">
        <v>15</v>
      </c>
      <c r="AD4" s="2">
        <v>9.5</v>
      </c>
      <c r="AE4" s="2">
        <v>7.5</v>
      </c>
      <c r="AF4" s="2">
        <v>21</v>
      </c>
      <c r="AG4" s="1"/>
      <c r="AH4" s="1">
        <f t="shared" si="3"/>
        <v>0</v>
      </c>
      <c r="AI4" s="1"/>
      <c r="AJ4" s="1">
        <f t="shared" si="4"/>
        <v>0</v>
      </c>
      <c r="AK4" s="1"/>
      <c r="AL4" s="1"/>
      <c r="AM4" s="2">
        <v>36.9</v>
      </c>
      <c r="AN4" s="2">
        <v>1951</v>
      </c>
      <c r="AO4" s="2">
        <v>10168</v>
      </c>
      <c r="AP4" s="2">
        <v>1.97</v>
      </c>
      <c r="AQ4" s="1"/>
      <c r="AR4" s="2">
        <v>12.3</v>
      </c>
      <c r="AS4" s="2">
        <v>14.8</v>
      </c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</v>
      </c>
      <c r="BE4" s="1">
        <f t="shared" si="16"/>
        <v>2.5402726146220571</v>
      </c>
      <c r="BF4" s="2">
        <v>196</v>
      </c>
      <c r="BG4" s="1">
        <f t="shared" si="5"/>
        <v>2.4287484510532837</v>
      </c>
      <c r="BH4" s="2">
        <v>182</v>
      </c>
      <c r="BI4" s="1">
        <f t="shared" si="6"/>
        <v>2.2552664188351921</v>
      </c>
      <c r="BJ4" s="2">
        <v>167</v>
      </c>
      <c r="BK4" s="1">
        <f t="shared" si="7"/>
        <v>2.0693928128872368</v>
      </c>
      <c r="BL4" s="2">
        <v>141</v>
      </c>
      <c r="BM4" s="1">
        <f t="shared" si="8"/>
        <v>1.7472118959107805</v>
      </c>
      <c r="BN4" s="2">
        <v>130</v>
      </c>
      <c r="BO4" s="1">
        <f t="shared" si="9"/>
        <v>1.6109045848822801</v>
      </c>
      <c r="BP4" s="2">
        <v>101</v>
      </c>
      <c r="BQ4" s="1">
        <f t="shared" si="10"/>
        <v>1.2515489467162328</v>
      </c>
      <c r="BR4" s="2">
        <v>113</v>
      </c>
      <c r="BS4" s="1">
        <f t="shared" si="11"/>
        <v>1.4002478314745972</v>
      </c>
      <c r="BT4" s="2">
        <v>151</v>
      </c>
      <c r="BU4" s="1">
        <f t="shared" si="12"/>
        <v>1.8711276332094176</v>
      </c>
      <c r="BV4" s="2">
        <v>172</v>
      </c>
      <c r="BW4" s="1">
        <f t="shared" si="13"/>
        <v>2.131350681536555</v>
      </c>
      <c r="BX4" s="1">
        <f t="shared" si="14"/>
        <v>0.82967032967032972</v>
      </c>
      <c r="BY4" s="1">
        <f t="shared" si="15"/>
        <v>1.0299401197604789</v>
      </c>
      <c r="BZ4" s="31">
        <v>7</v>
      </c>
      <c r="CA4" s="31" t="s">
        <v>177</v>
      </c>
      <c r="CB4" s="31">
        <v>2</v>
      </c>
      <c r="CC4" s="31">
        <v>14</v>
      </c>
      <c r="CD4" s="31">
        <v>6</v>
      </c>
      <c r="CE4" s="31">
        <v>9</v>
      </c>
      <c r="CF4" s="31" t="s">
        <v>178</v>
      </c>
      <c r="CG4" s="31">
        <v>4</v>
      </c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1" t="e">
        <v>#DIV/0!</v>
      </c>
      <c r="CS4" s="34"/>
      <c r="CT4" s="34"/>
      <c r="CU4" s="34"/>
      <c r="CV4" s="34"/>
      <c r="CW4" s="34"/>
      <c r="CX4" s="34"/>
      <c r="CY4" s="34"/>
      <c r="CZ4" s="34"/>
      <c r="DA4" s="34"/>
      <c r="DB4" s="34"/>
    </row>
    <row r="5" spans="1:106" ht="14.25" customHeight="1" thickBot="1">
      <c r="A5" s="13" t="s">
        <v>88</v>
      </c>
      <c r="B5" s="10">
        <v>26</v>
      </c>
      <c r="C5" s="10" t="s">
        <v>78</v>
      </c>
      <c r="D5" s="10" t="s">
        <v>79</v>
      </c>
      <c r="E5" s="10" t="s">
        <v>80</v>
      </c>
      <c r="F5" s="11">
        <v>39213</v>
      </c>
      <c r="G5" s="12" t="s">
        <v>81</v>
      </c>
      <c r="H5" s="13">
        <v>19</v>
      </c>
      <c r="I5" s="2">
        <v>71.599999999999994</v>
      </c>
      <c r="J5" s="2">
        <v>179.6</v>
      </c>
      <c r="K5" s="2">
        <v>32</v>
      </c>
      <c r="L5" s="1"/>
      <c r="M5" s="9" t="s">
        <v>166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6">
        <v>14.1</v>
      </c>
      <c r="AS5" s="16">
        <v>16.3</v>
      </c>
      <c r="AT5" s="1"/>
      <c r="AU5" s="2">
        <v>16.5</v>
      </c>
      <c r="AV5" s="2">
        <v>208</v>
      </c>
      <c r="AW5" s="1"/>
      <c r="AX5" s="1"/>
      <c r="AY5" s="1"/>
      <c r="AZ5" s="1"/>
      <c r="BA5" s="1"/>
      <c r="BB5" s="1"/>
      <c r="BC5" s="1"/>
      <c r="BD5" s="2">
        <v>183</v>
      </c>
      <c r="BE5" s="1">
        <f t="shared" si="16"/>
        <v>2.5558659217877095</v>
      </c>
      <c r="BF5" s="2">
        <v>252</v>
      </c>
      <c r="BG5" s="1">
        <f t="shared" si="5"/>
        <v>3.5195530726256985</v>
      </c>
      <c r="BH5" s="2">
        <v>166</v>
      </c>
      <c r="BI5" s="1">
        <f t="shared" si="6"/>
        <v>2.3184357541899443</v>
      </c>
      <c r="BJ5" s="2">
        <v>167</v>
      </c>
      <c r="BK5" s="1">
        <f t="shared" si="7"/>
        <v>2.3324022346368718</v>
      </c>
      <c r="BL5" s="2">
        <v>153</v>
      </c>
      <c r="BM5" s="1">
        <f t="shared" si="8"/>
        <v>2.1368715083798886</v>
      </c>
      <c r="BN5" s="2">
        <v>146</v>
      </c>
      <c r="BO5" s="1">
        <f t="shared" si="9"/>
        <v>2.039106145251397</v>
      </c>
      <c r="BP5" s="2">
        <v>131</v>
      </c>
      <c r="BQ5" s="1">
        <f t="shared" si="10"/>
        <v>1.8296089385474861</v>
      </c>
      <c r="BR5" s="2">
        <v>134</v>
      </c>
      <c r="BS5" s="1">
        <f t="shared" si="11"/>
        <v>1.8715083798882683</v>
      </c>
      <c r="BT5" s="2">
        <v>175</v>
      </c>
      <c r="BU5" s="1">
        <f t="shared" si="12"/>
        <v>2.4441340782122909</v>
      </c>
      <c r="BV5" s="2">
        <v>216</v>
      </c>
      <c r="BW5" s="1">
        <f t="shared" si="13"/>
        <v>3.016759776536313</v>
      </c>
      <c r="BX5" s="1">
        <f t="shared" si="14"/>
        <v>1.0542168674698795</v>
      </c>
      <c r="BY5" s="1">
        <f t="shared" si="15"/>
        <v>1.2934131736526946</v>
      </c>
      <c r="BZ5" s="33" t="s">
        <v>175</v>
      </c>
      <c r="CA5" s="33">
        <v>6</v>
      </c>
      <c r="CB5" s="33" t="s">
        <v>179</v>
      </c>
      <c r="CC5" s="33" t="s">
        <v>180</v>
      </c>
      <c r="CD5" s="33" t="s">
        <v>175</v>
      </c>
      <c r="CE5" s="33">
        <v>5</v>
      </c>
      <c r="CF5" s="33" t="s">
        <v>175</v>
      </c>
      <c r="CG5" s="33" t="s">
        <v>181</v>
      </c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3" t="e">
        <v>#DIV/0!</v>
      </c>
      <c r="CS5" s="32"/>
      <c r="CT5" s="32"/>
      <c r="CU5" s="32"/>
      <c r="CV5" s="32"/>
      <c r="CW5" s="32"/>
      <c r="CX5" s="32"/>
      <c r="CY5" s="32"/>
      <c r="CZ5" s="32"/>
      <c r="DA5" s="32"/>
      <c r="DB5" s="32"/>
    </row>
    <row r="6" spans="1:106" ht="14.25" customHeight="1" thickBot="1">
      <c r="A6" s="6" t="s">
        <v>89</v>
      </c>
      <c r="B6" s="6"/>
      <c r="C6" s="6" t="s">
        <v>83</v>
      </c>
      <c r="D6" s="6" t="s">
        <v>84</v>
      </c>
      <c r="E6" s="6" t="s">
        <v>85</v>
      </c>
      <c r="F6" s="7">
        <v>37975</v>
      </c>
      <c r="G6" s="8" t="s">
        <v>81</v>
      </c>
      <c r="H6" s="5">
        <v>22</v>
      </c>
      <c r="I6" s="1"/>
      <c r="J6" s="1"/>
      <c r="K6" s="1"/>
      <c r="L6" s="1"/>
      <c r="M6" s="9" t="s">
        <v>166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 t="e">
        <f t="shared" si="16"/>
        <v>#DIV/0!</v>
      </c>
      <c r="BF6" s="1"/>
      <c r="BG6" s="1" t="e">
        <f t="shared" si="5"/>
        <v>#DIV/0!</v>
      </c>
      <c r="BH6" s="1"/>
      <c r="BI6" s="1" t="e">
        <f t="shared" si="6"/>
        <v>#DIV/0!</v>
      </c>
      <c r="BJ6" s="1"/>
      <c r="BK6" s="1" t="e">
        <f t="shared" si="7"/>
        <v>#DIV/0!</v>
      </c>
      <c r="BL6" s="1"/>
      <c r="BM6" s="1" t="e">
        <f t="shared" si="8"/>
        <v>#DIV/0!</v>
      </c>
      <c r="BN6" s="1"/>
      <c r="BO6" s="1" t="e">
        <f t="shared" si="9"/>
        <v>#DIV/0!</v>
      </c>
      <c r="BP6" s="1"/>
      <c r="BQ6" s="1" t="e">
        <f t="shared" si="10"/>
        <v>#DIV/0!</v>
      </c>
      <c r="BR6" s="1"/>
      <c r="BS6" s="1" t="e">
        <f t="shared" si="11"/>
        <v>#DIV/0!</v>
      </c>
      <c r="BT6" s="1"/>
      <c r="BU6" s="1" t="e">
        <f t="shared" si="12"/>
        <v>#DIV/0!</v>
      </c>
      <c r="BV6" s="1"/>
      <c r="BW6" s="1" t="e">
        <f t="shared" si="13"/>
        <v>#DIV/0!</v>
      </c>
      <c r="BX6" s="1" t="e">
        <f t="shared" si="14"/>
        <v>#DIV/0!</v>
      </c>
      <c r="BY6" s="1" t="e">
        <f t="shared" si="15"/>
        <v>#DIV/0!</v>
      </c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1" t="e">
        <v>#DIV/0!</v>
      </c>
      <c r="CS6" s="34"/>
      <c r="CT6" s="34"/>
      <c r="CU6" s="34"/>
      <c r="CV6" s="34"/>
      <c r="CW6" s="34"/>
      <c r="CX6" s="34"/>
      <c r="CY6" s="34"/>
      <c r="CZ6" s="34"/>
      <c r="DA6" s="34"/>
      <c r="DB6" s="34"/>
    </row>
    <row r="7" spans="1:106" ht="14.25" customHeight="1" thickBot="1">
      <c r="A7" s="13" t="s">
        <v>90</v>
      </c>
      <c r="B7" s="10">
        <v>46</v>
      </c>
      <c r="C7" s="10" t="s">
        <v>78</v>
      </c>
      <c r="D7" s="10" t="s">
        <v>84</v>
      </c>
      <c r="E7" s="10" t="s">
        <v>87</v>
      </c>
      <c r="F7" s="11">
        <v>39689</v>
      </c>
      <c r="G7" s="12" t="s">
        <v>81</v>
      </c>
      <c r="H7" s="13">
        <v>17</v>
      </c>
      <c r="I7" s="2">
        <v>70.8</v>
      </c>
      <c r="J7" s="2">
        <v>183</v>
      </c>
      <c r="K7" s="2">
        <v>50.5</v>
      </c>
      <c r="L7" s="9">
        <v>46216</v>
      </c>
      <c r="M7" s="9" t="s">
        <v>166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19.5</v>
      </c>
      <c r="V7" s="2">
        <v>19.3</v>
      </c>
      <c r="W7" s="2">
        <v>19.399999999999999</v>
      </c>
      <c r="X7" s="2">
        <v>21.1</v>
      </c>
      <c r="Y7" s="1">
        <f t="shared" si="0"/>
        <v>38.799999999999997</v>
      </c>
      <c r="Z7" s="1">
        <f t="shared" si="1"/>
        <v>40.5</v>
      </c>
      <c r="AA7" s="1">
        <f t="shared" si="2"/>
        <v>0.95802469135802459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>
        <v>33.799999999999997</v>
      </c>
      <c r="AN7" s="1">
        <v>1959.8</v>
      </c>
      <c r="AO7" s="1">
        <v>14135</v>
      </c>
      <c r="AP7" s="1"/>
      <c r="AQ7" s="2">
        <v>6810</v>
      </c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</v>
      </c>
      <c r="BE7" s="1">
        <f t="shared" si="16"/>
        <v>3.347457627118644</v>
      </c>
      <c r="BF7" s="2">
        <v>259</v>
      </c>
      <c r="BG7" s="1">
        <f t="shared" si="5"/>
        <v>3.6581920903954805</v>
      </c>
      <c r="BH7" s="2">
        <v>200</v>
      </c>
      <c r="BI7" s="1">
        <f t="shared" si="6"/>
        <v>2.8248587570621471</v>
      </c>
      <c r="BJ7" s="2">
        <v>214</v>
      </c>
      <c r="BK7" s="1">
        <f t="shared" si="7"/>
        <v>3.0225988700564974</v>
      </c>
      <c r="BL7" s="2">
        <v>139</v>
      </c>
      <c r="BM7" s="1">
        <f t="shared" si="8"/>
        <v>1.9632768361581923</v>
      </c>
      <c r="BN7" s="2">
        <v>126</v>
      </c>
      <c r="BO7" s="1">
        <f t="shared" si="9"/>
        <v>1.7796610169491527</v>
      </c>
      <c r="BP7" s="2">
        <v>122</v>
      </c>
      <c r="BQ7" s="1">
        <f t="shared" si="10"/>
        <v>1.7231638418079096</v>
      </c>
      <c r="BR7" s="2">
        <v>108</v>
      </c>
      <c r="BS7" s="1">
        <f t="shared" si="11"/>
        <v>1.5254237288135595</v>
      </c>
      <c r="BT7" s="2">
        <v>194</v>
      </c>
      <c r="BU7" s="1">
        <f t="shared" si="12"/>
        <v>2.7401129943502824</v>
      </c>
      <c r="BV7" s="2">
        <v>159</v>
      </c>
      <c r="BW7" s="1">
        <f t="shared" si="13"/>
        <v>2.245762711864407</v>
      </c>
      <c r="BX7" s="1">
        <f t="shared" si="14"/>
        <v>0.97</v>
      </c>
      <c r="BY7" s="1">
        <f t="shared" si="15"/>
        <v>0.7429906542056075</v>
      </c>
      <c r="BZ7" s="33">
        <v>6</v>
      </c>
      <c r="CA7" s="33" t="s">
        <v>182</v>
      </c>
      <c r="CB7" s="33" t="s">
        <v>181</v>
      </c>
      <c r="CC7" s="33">
        <v>12</v>
      </c>
      <c r="CD7" s="33">
        <v>4</v>
      </c>
      <c r="CE7" s="33">
        <v>7</v>
      </c>
      <c r="CF7" s="33" t="s">
        <v>180</v>
      </c>
      <c r="CG7" s="33">
        <v>5</v>
      </c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3" t="e">
        <v>#DIV/0!</v>
      </c>
      <c r="CS7" s="32"/>
      <c r="CT7" s="32"/>
      <c r="CU7" s="32"/>
      <c r="CV7" s="32"/>
      <c r="CW7" s="32"/>
      <c r="CX7" s="32"/>
      <c r="CY7" s="32"/>
      <c r="CZ7" s="32"/>
      <c r="DA7" s="32"/>
      <c r="DB7" s="32"/>
    </row>
    <row r="8" spans="1:106" ht="14.25" customHeight="1" thickBot="1">
      <c r="A8" s="6" t="s">
        <v>91</v>
      </c>
      <c r="B8" s="6">
        <v>10</v>
      </c>
      <c r="C8" s="6" t="s">
        <v>83</v>
      </c>
      <c r="D8" s="6" t="s">
        <v>84</v>
      </c>
      <c r="E8" s="6" t="s">
        <v>85</v>
      </c>
      <c r="F8" s="15">
        <v>36473</v>
      </c>
      <c r="G8" s="8" t="s">
        <v>81</v>
      </c>
      <c r="H8" s="5">
        <v>26</v>
      </c>
      <c r="I8" s="2">
        <v>81</v>
      </c>
      <c r="J8" s="2">
        <v>180.7</v>
      </c>
      <c r="K8" s="2">
        <v>36.5</v>
      </c>
      <c r="L8" s="2"/>
      <c r="M8" s="9" t="s">
        <v>166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2">
        <v>5148</v>
      </c>
      <c r="AR8" s="2">
        <v>12.3</v>
      </c>
      <c r="AS8" s="2">
        <v>16.2</v>
      </c>
      <c r="AT8" s="1"/>
      <c r="AU8" s="2">
        <v>16.5</v>
      </c>
      <c r="AV8" s="2">
        <v>222</v>
      </c>
      <c r="AW8" s="1"/>
      <c r="AX8" s="1"/>
      <c r="AY8" s="1"/>
      <c r="AZ8" s="1"/>
      <c r="BA8" s="1"/>
      <c r="BB8" s="1"/>
      <c r="BC8" s="1"/>
      <c r="BD8" s="2">
        <v>311</v>
      </c>
      <c r="BE8" s="1">
        <f t="shared" si="16"/>
        <v>3.8395061728395063</v>
      </c>
      <c r="BF8" s="2">
        <v>292</v>
      </c>
      <c r="BG8" s="1">
        <f t="shared" si="5"/>
        <v>3.6049382716049383</v>
      </c>
      <c r="BH8" s="2">
        <v>209</v>
      </c>
      <c r="BI8" s="1">
        <f t="shared" si="6"/>
        <v>2.5802469135802468</v>
      </c>
      <c r="BJ8" s="2">
        <v>210</v>
      </c>
      <c r="BK8" s="1">
        <f t="shared" si="7"/>
        <v>2.5925925925925926</v>
      </c>
      <c r="BL8" s="2">
        <v>173</v>
      </c>
      <c r="BM8" s="1">
        <f t="shared" si="8"/>
        <v>2.1358024691358026</v>
      </c>
      <c r="BN8" s="2">
        <v>194</v>
      </c>
      <c r="BO8" s="1">
        <f t="shared" si="9"/>
        <v>2.3950617283950617</v>
      </c>
      <c r="BP8" s="2">
        <v>142</v>
      </c>
      <c r="BQ8" s="1">
        <f t="shared" si="10"/>
        <v>1.7530864197530864</v>
      </c>
      <c r="BR8" s="2">
        <v>149</v>
      </c>
      <c r="BS8" s="1">
        <f t="shared" si="11"/>
        <v>1.8395061728395061</v>
      </c>
      <c r="BT8" s="2">
        <v>278</v>
      </c>
      <c r="BU8" s="1">
        <f t="shared" si="12"/>
        <v>3.4320987654320989</v>
      </c>
      <c r="BV8" s="2">
        <v>266</v>
      </c>
      <c r="BW8" s="1">
        <f t="shared" si="13"/>
        <v>3.2839506172839505</v>
      </c>
      <c r="BX8" s="1">
        <f t="shared" si="14"/>
        <v>1.3301435406698565</v>
      </c>
      <c r="BY8" s="1">
        <f t="shared" si="15"/>
        <v>1.2666666666666666</v>
      </c>
      <c r="BZ8" s="31" t="s">
        <v>175</v>
      </c>
      <c r="CA8" s="31" t="s">
        <v>180</v>
      </c>
      <c r="CB8" s="31" t="s">
        <v>179</v>
      </c>
      <c r="CC8" s="31">
        <v>6</v>
      </c>
      <c r="CD8" s="31">
        <v>4</v>
      </c>
      <c r="CE8" s="31" t="s">
        <v>180</v>
      </c>
      <c r="CF8" s="31">
        <v>5</v>
      </c>
      <c r="CG8" s="31" t="s">
        <v>175</v>
      </c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1" t="e">
        <v>#DIV/0!</v>
      </c>
      <c r="CS8" s="34"/>
      <c r="CT8" s="34"/>
      <c r="CU8" s="34"/>
      <c r="CV8" s="34"/>
      <c r="CW8" s="34"/>
      <c r="CX8" s="34"/>
      <c r="CY8" s="34"/>
      <c r="CZ8" s="34"/>
      <c r="DA8" s="34"/>
      <c r="DB8" s="34"/>
    </row>
    <row r="9" spans="1:106" ht="14.25" customHeight="1" thickBot="1">
      <c r="A9" s="13" t="s">
        <v>92</v>
      </c>
      <c r="B9" s="10">
        <v>8</v>
      </c>
      <c r="C9" s="10" t="s">
        <v>83</v>
      </c>
      <c r="D9" s="10" t="s">
        <v>93</v>
      </c>
      <c r="E9" s="10" t="s">
        <v>94</v>
      </c>
      <c r="F9" s="11">
        <v>38150</v>
      </c>
      <c r="G9" s="12" t="s">
        <v>81</v>
      </c>
      <c r="H9" s="13">
        <v>22</v>
      </c>
      <c r="I9" s="2">
        <v>72.2</v>
      </c>
      <c r="J9" s="2">
        <v>180.4</v>
      </c>
      <c r="K9" s="2">
        <v>31</v>
      </c>
      <c r="L9" s="1"/>
      <c r="M9" s="9" t="s">
        <v>166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6">
        <v>12.6</v>
      </c>
      <c r="AS9" s="16">
        <v>15.5</v>
      </c>
      <c r="AT9" s="1"/>
      <c r="AU9" s="2">
        <v>16</v>
      </c>
      <c r="AV9" s="2">
        <v>224</v>
      </c>
      <c r="AW9" s="1"/>
      <c r="AX9" s="1"/>
      <c r="AY9" s="1"/>
      <c r="AZ9" s="1"/>
      <c r="BA9" s="1"/>
      <c r="BB9" s="1"/>
      <c r="BC9" s="1"/>
      <c r="BD9" s="2">
        <v>272</v>
      </c>
      <c r="BE9" s="1">
        <f t="shared" si="16"/>
        <v>3.7673130193905817</v>
      </c>
      <c r="BF9" s="2">
        <v>263</v>
      </c>
      <c r="BG9" s="1">
        <f t="shared" si="5"/>
        <v>3.642659279778393</v>
      </c>
      <c r="BH9" s="2">
        <v>196</v>
      </c>
      <c r="BI9" s="1">
        <f t="shared" si="6"/>
        <v>2.7146814404432131</v>
      </c>
      <c r="BJ9" s="2">
        <v>193</v>
      </c>
      <c r="BK9" s="1">
        <f t="shared" si="7"/>
        <v>2.6731301939058172</v>
      </c>
      <c r="BL9" s="2">
        <v>159</v>
      </c>
      <c r="BM9" s="1">
        <f t="shared" si="8"/>
        <v>2.2022160664819945</v>
      </c>
      <c r="BN9" s="2">
        <v>147</v>
      </c>
      <c r="BO9" s="1">
        <f t="shared" si="9"/>
        <v>2.0360110803324099</v>
      </c>
      <c r="BP9" s="2">
        <v>140</v>
      </c>
      <c r="BQ9" s="1">
        <f t="shared" si="10"/>
        <v>1.9390581717451523</v>
      </c>
      <c r="BR9" s="2">
        <v>135</v>
      </c>
      <c r="BS9" s="1">
        <f t="shared" si="11"/>
        <v>1.8698060941828254</v>
      </c>
      <c r="BT9" s="2">
        <v>173</v>
      </c>
      <c r="BU9" s="1">
        <f t="shared" si="12"/>
        <v>2.3961218836565097</v>
      </c>
      <c r="BV9" s="4">
        <v>171</v>
      </c>
      <c r="BW9" s="1">
        <f>BV8/I9</f>
        <v>3.6842105263157894</v>
      </c>
      <c r="BX9" s="1">
        <f t="shared" si="14"/>
        <v>0.88265306122448983</v>
      </c>
      <c r="BY9" s="1">
        <f>BV8/BJ9</f>
        <v>1.3782383419689119</v>
      </c>
      <c r="BZ9" s="33" t="s">
        <v>175</v>
      </c>
      <c r="CA9" s="33">
        <v>6</v>
      </c>
      <c r="CB9" s="33">
        <v>2</v>
      </c>
      <c r="CC9" s="33" t="s">
        <v>175</v>
      </c>
      <c r="CD9" s="33">
        <v>3</v>
      </c>
      <c r="CE9" s="33">
        <v>5</v>
      </c>
      <c r="CF9" s="33" t="s">
        <v>176</v>
      </c>
      <c r="CG9" s="33" t="s">
        <v>175</v>
      </c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3" t="e">
        <v>#DIV/0!</v>
      </c>
      <c r="CS9" s="32"/>
      <c r="CT9" s="32"/>
      <c r="CU9" s="32"/>
      <c r="CV9" s="32"/>
      <c r="CW9" s="32"/>
      <c r="CX9" s="32"/>
      <c r="CY9" s="32"/>
      <c r="CZ9" s="32"/>
      <c r="DA9" s="32"/>
      <c r="DB9" s="32"/>
    </row>
    <row r="10" spans="1:106" ht="14.25" customHeight="1" thickBot="1">
      <c r="A10" s="5" t="s">
        <v>95</v>
      </c>
      <c r="B10" s="6">
        <v>48</v>
      </c>
      <c r="C10" s="6" t="s">
        <v>83</v>
      </c>
      <c r="D10" s="6" t="s">
        <v>84</v>
      </c>
      <c r="E10" s="6" t="s">
        <v>87</v>
      </c>
      <c r="F10" s="15">
        <v>39832</v>
      </c>
      <c r="G10" s="8" t="s">
        <v>81</v>
      </c>
      <c r="H10" s="6">
        <v>17</v>
      </c>
      <c r="I10" s="2">
        <v>63.7</v>
      </c>
      <c r="J10" s="2">
        <v>167</v>
      </c>
      <c r="K10" s="2">
        <v>34.5</v>
      </c>
      <c r="L10" s="1"/>
      <c r="M10" s="9" t="s">
        <v>166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2">
        <v>4703</v>
      </c>
      <c r="AR10" s="2">
        <v>12.9</v>
      </c>
      <c r="AS10" s="2">
        <v>16.100000000000001</v>
      </c>
      <c r="AT10" s="1"/>
      <c r="AU10" s="2">
        <v>16.5</v>
      </c>
      <c r="AV10" s="2">
        <v>213</v>
      </c>
      <c r="AW10" s="1"/>
      <c r="AX10" s="1"/>
      <c r="AY10" s="1"/>
      <c r="AZ10" s="1"/>
      <c r="BA10" s="1"/>
      <c r="BB10" s="1"/>
      <c r="BC10" s="1"/>
      <c r="BD10" s="2">
        <v>208</v>
      </c>
      <c r="BE10" s="1">
        <f t="shared" si="16"/>
        <v>3.2653061224489797</v>
      </c>
      <c r="BF10" s="2">
        <v>216.9</v>
      </c>
      <c r="BG10" s="1">
        <f t="shared" si="5"/>
        <v>3.4050235478806905</v>
      </c>
      <c r="BH10" s="2">
        <v>138.6</v>
      </c>
      <c r="BI10" s="1">
        <f t="shared" si="6"/>
        <v>2.1758241758241756</v>
      </c>
      <c r="BJ10" s="2">
        <v>140.19999999999999</v>
      </c>
      <c r="BK10" s="1">
        <f t="shared" si="7"/>
        <v>2.2009419152276291</v>
      </c>
      <c r="BL10" s="2">
        <v>118</v>
      </c>
      <c r="BM10" s="1">
        <f t="shared" si="8"/>
        <v>1.8524332810047095</v>
      </c>
      <c r="BN10" s="2">
        <v>131.80000000000001</v>
      </c>
      <c r="BO10" s="1">
        <f t="shared" si="9"/>
        <v>2.0690737833594977</v>
      </c>
      <c r="BP10" s="2">
        <v>128.69999999999999</v>
      </c>
      <c r="BQ10" s="1">
        <f t="shared" si="10"/>
        <v>2.0204081632653059</v>
      </c>
      <c r="BR10" s="2">
        <v>97.2</v>
      </c>
      <c r="BS10" s="1">
        <f t="shared" si="11"/>
        <v>1.5259026687598116</v>
      </c>
      <c r="BT10" s="2">
        <v>145.5</v>
      </c>
      <c r="BU10" s="1">
        <f t="shared" si="12"/>
        <v>2.2841444270015696</v>
      </c>
      <c r="BV10" s="2">
        <v>161.69999999999999</v>
      </c>
      <c r="BW10" s="1">
        <f t="shared" ref="BW10:BW18" si="17">BV10/I10</f>
        <v>2.5384615384615383</v>
      </c>
      <c r="BX10" s="1">
        <f t="shared" si="14"/>
        <v>1.0497835497835499</v>
      </c>
      <c r="BY10" s="1">
        <f t="shared" ref="BY10:BY67" si="18">BV10/BJ10</f>
        <v>1.1533523537803139</v>
      </c>
      <c r="BZ10" s="31" t="s">
        <v>175</v>
      </c>
      <c r="CA10" s="31" t="s">
        <v>180</v>
      </c>
      <c r="CB10" s="31">
        <v>2</v>
      </c>
      <c r="CC10" s="31">
        <v>6</v>
      </c>
      <c r="CD10" s="31" t="s">
        <v>175</v>
      </c>
      <c r="CE10" s="31">
        <v>5</v>
      </c>
      <c r="CF10" s="31" t="s">
        <v>176</v>
      </c>
      <c r="CG10" s="31" t="s">
        <v>175</v>
      </c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1" t="e">
        <v>#DIV/0!</v>
      </c>
      <c r="CS10" s="34"/>
      <c r="CT10" s="34"/>
      <c r="CU10" s="34"/>
      <c r="CV10" s="34"/>
      <c r="CW10" s="34"/>
      <c r="CX10" s="34"/>
      <c r="CY10" s="34"/>
      <c r="CZ10" s="34"/>
      <c r="DA10" s="34"/>
      <c r="DB10" s="34"/>
    </row>
    <row r="11" spans="1:106" ht="14.25" customHeight="1" thickBot="1">
      <c r="A11" s="13" t="s">
        <v>96</v>
      </c>
      <c r="B11" s="10">
        <v>24</v>
      </c>
      <c r="C11" s="10" t="s">
        <v>83</v>
      </c>
      <c r="D11" s="10" t="s">
        <v>93</v>
      </c>
      <c r="E11" s="10" t="s">
        <v>97</v>
      </c>
      <c r="F11" s="17">
        <v>36885</v>
      </c>
      <c r="G11" s="12" t="s">
        <v>81</v>
      </c>
      <c r="H11" s="13">
        <v>25</v>
      </c>
      <c r="I11" s="2">
        <v>86.1</v>
      </c>
      <c r="J11" s="2">
        <v>186.6</v>
      </c>
      <c r="K11" s="2">
        <v>42</v>
      </c>
      <c r="L11" s="1"/>
      <c r="M11" s="9" t="s">
        <v>166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">
        <v>16.5</v>
      </c>
      <c r="AV11" s="2">
        <v>215</v>
      </c>
      <c r="AW11" s="1"/>
      <c r="AX11" s="1"/>
      <c r="AY11" s="1"/>
      <c r="AZ11" s="1"/>
      <c r="BA11" s="1"/>
      <c r="BB11" s="1"/>
      <c r="BC11" s="1"/>
      <c r="BD11" s="2">
        <v>200</v>
      </c>
      <c r="BE11" s="1">
        <f t="shared" si="16"/>
        <v>2.3228803716608595</v>
      </c>
      <c r="BF11" s="2">
        <v>264</v>
      </c>
      <c r="BG11" s="1">
        <f t="shared" si="5"/>
        <v>3.0662020905923346</v>
      </c>
      <c r="BH11" s="2">
        <v>175</v>
      </c>
      <c r="BI11" s="1">
        <f t="shared" si="6"/>
        <v>2.0325203252032522</v>
      </c>
      <c r="BJ11" s="2">
        <v>213</v>
      </c>
      <c r="BK11" s="1">
        <f t="shared" si="7"/>
        <v>2.4738675958188154</v>
      </c>
      <c r="BL11" s="2">
        <v>136</v>
      </c>
      <c r="BM11" s="1">
        <f t="shared" si="8"/>
        <v>1.5795586527293846</v>
      </c>
      <c r="BN11" s="2">
        <v>148</v>
      </c>
      <c r="BO11" s="1">
        <f t="shared" si="9"/>
        <v>1.7189314750290361</v>
      </c>
      <c r="BP11" s="2">
        <v>117</v>
      </c>
      <c r="BQ11" s="1">
        <f t="shared" si="10"/>
        <v>1.3588850174216029</v>
      </c>
      <c r="BR11" s="2">
        <v>165</v>
      </c>
      <c r="BS11" s="1">
        <f t="shared" si="11"/>
        <v>1.9163763066202091</v>
      </c>
      <c r="BT11" s="2">
        <v>215</v>
      </c>
      <c r="BU11" s="1">
        <f t="shared" si="12"/>
        <v>2.4970963995354243</v>
      </c>
      <c r="BV11" s="2">
        <v>209</v>
      </c>
      <c r="BW11" s="1">
        <f t="shared" si="17"/>
        <v>2.4274099883855982</v>
      </c>
      <c r="BX11" s="1">
        <f t="shared" si="14"/>
        <v>1.2285714285714286</v>
      </c>
      <c r="BY11" s="1">
        <f t="shared" si="18"/>
        <v>0.98122065727699526</v>
      </c>
      <c r="BZ11" s="33">
        <v>4</v>
      </c>
      <c r="CA11" s="33">
        <v>8</v>
      </c>
      <c r="CB11" s="33" t="s">
        <v>181</v>
      </c>
      <c r="CC11" s="33" t="s">
        <v>182</v>
      </c>
      <c r="CD11" s="33">
        <v>4</v>
      </c>
      <c r="CE11" s="33">
        <v>7</v>
      </c>
      <c r="CF11" s="33" t="s">
        <v>183</v>
      </c>
      <c r="CG11" s="33" t="s">
        <v>175</v>
      </c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3" t="e">
        <v>#DIV/0!</v>
      </c>
      <c r="CS11" s="32"/>
      <c r="CT11" s="32"/>
      <c r="CU11" s="32"/>
      <c r="CV11" s="32"/>
      <c r="CW11" s="32"/>
      <c r="CX11" s="32"/>
      <c r="CY11" s="32"/>
      <c r="CZ11" s="32"/>
      <c r="DA11" s="32"/>
      <c r="DB11" s="32"/>
    </row>
    <row r="12" spans="1:106" ht="14.25" customHeight="1" thickBot="1">
      <c r="A12" s="10" t="s">
        <v>98</v>
      </c>
      <c r="B12" s="10">
        <v>20</v>
      </c>
      <c r="C12" s="10" t="s">
        <v>78</v>
      </c>
      <c r="D12" s="10" t="s">
        <v>79</v>
      </c>
      <c r="E12" s="10" t="s">
        <v>80</v>
      </c>
      <c r="F12" s="17">
        <v>37543</v>
      </c>
      <c r="G12" s="8" t="s">
        <v>81</v>
      </c>
      <c r="H12" s="10">
        <v>23</v>
      </c>
      <c r="I12" s="2">
        <v>73.8</v>
      </c>
      <c r="J12" s="2">
        <v>183</v>
      </c>
      <c r="K12" s="2">
        <v>33.5</v>
      </c>
      <c r="L12" s="9">
        <v>46209</v>
      </c>
      <c r="M12" s="9" t="s">
        <v>166</v>
      </c>
      <c r="N12" s="2">
        <v>1038</v>
      </c>
      <c r="O12" s="2">
        <v>34.1</v>
      </c>
      <c r="P12" s="2">
        <v>32.200000000000003</v>
      </c>
      <c r="Q12" s="2">
        <v>8.4</v>
      </c>
      <c r="R12" s="2">
        <v>10</v>
      </c>
      <c r="S12" s="2">
        <v>15.1</v>
      </c>
      <c r="T12" s="2">
        <v>12.2</v>
      </c>
      <c r="U12" s="2">
        <v>22.8</v>
      </c>
      <c r="V12" s="2">
        <v>24</v>
      </c>
      <c r="W12" s="2">
        <v>16.2</v>
      </c>
      <c r="X12" s="2">
        <v>17.8</v>
      </c>
      <c r="Y12" s="1"/>
      <c r="Z12" s="1"/>
      <c r="AA12" s="1"/>
      <c r="AB12" s="2">
        <v>29</v>
      </c>
      <c r="AC12" s="2">
        <v>24</v>
      </c>
      <c r="AD12" s="2">
        <v>11.5</v>
      </c>
      <c r="AE12" s="2">
        <v>13</v>
      </c>
      <c r="AF12" s="2">
        <v>33</v>
      </c>
      <c r="AG12" s="1"/>
      <c r="AH12" s="1"/>
      <c r="AI12" s="1"/>
      <c r="AJ12" s="1"/>
      <c r="AK12" s="1"/>
      <c r="AL12" s="1"/>
      <c r="AM12" s="2">
        <v>39</v>
      </c>
      <c r="AN12" s="2">
        <v>1900</v>
      </c>
      <c r="AO12" s="2">
        <v>11096</v>
      </c>
      <c r="AP12" s="2">
        <v>1.83</v>
      </c>
      <c r="AQ12" s="1"/>
      <c r="AR12" s="8">
        <v>12.1</v>
      </c>
      <c r="AS12" s="8">
        <v>16.399999999999999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</v>
      </c>
      <c r="BE12" s="1">
        <f t="shared" si="16"/>
        <v>1.7750677506775068</v>
      </c>
      <c r="BF12" s="2">
        <v>260</v>
      </c>
      <c r="BG12" s="1">
        <f t="shared" si="5"/>
        <v>3.5230352303523036</v>
      </c>
      <c r="BH12" s="2">
        <v>138</v>
      </c>
      <c r="BI12" s="1">
        <f t="shared" si="6"/>
        <v>1.8699186991869921</v>
      </c>
      <c r="BJ12" s="2">
        <v>166</v>
      </c>
      <c r="BK12" s="1">
        <f t="shared" si="7"/>
        <v>2.2493224932249323</v>
      </c>
      <c r="BL12" s="2">
        <v>128</v>
      </c>
      <c r="BM12" s="1">
        <f t="shared" si="8"/>
        <v>1.7344173441734418</v>
      </c>
      <c r="BN12" s="2">
        <v>117</v>
      </c>
      <c r="BO12" s="1">
        <f t="shared" si="9"/>
        <v>1.5853658536585367</v>
      </c>
      <c r="BP12" s="2">
        <v>109</v>
      </c>
      <c r="BQ12" s="1">
        <f t="shared" si="10"/>
        <v>1.4769647696476966</v>
      </c>
      <c r="BR12" s="2">
        <v>89</v>
      </c>
      <c r="BS12" s="1">
        <f t="shared" si="11"/>
        <v>1.2059620596205962</v>
      </c>
      <c r="BT12" s="2">
        <v>134</v>
      </c>
      <c r="BU12" s="1">
        <f t="shared" si="12"/>
        <v>1.8157181571815719</v>
      </c>
      <c r="BV12" s="2">
        <v>122</v>
      </c>
      <c r="BW12" s="1">
        <f t="shared" si="17"/>
        <v>1.6531165311653118</v>
      </c>
      <c r="BX12" s="1">
        <f t="shared" si="14"/>
        <v>0.97101449275362317</v>
      </c>
      <c r="BY12" s="1">
        <f t="shared" si="18"/>
        <v>0.73493975903614461</v>
      </c>
      <c r="BZ12" s="31" t="s">
        <v>175</v>
      </c>
      <c r="CA12" s="31">
        <v>6</v>
      </c>
      <c r="CB12" s="31">
        <v>2</v>
      </c>
      <c r="CC12" s="31" t="s">
        <v>176</v>
      </c>
      <c r="CD12" s="31">
        <v>4</v>
      </c>
      <c r="CE12" s="31">
        <v>6</v>
      </c>
      <c r="CF12" s="31" t="s">
        <v>176</v>
      </c>
      <c r="CG12" s="31">
        <v>3</v>
      </c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1" t="e">
        <v>#DIV/0!</v>
      </c>
      <c r="CS12" s="34"/>
      <c r="CT12" s="34"/>
      <c r="CU12" s="34"/>
      <c r="CV12" s="34"/>
      <c r="CW12" s="34"/>
      <c r="CX12" s="34"/>
      <c r="CY12" s="34"/>
      <c r="CZ12" s="34"/>
      <c r="DA12" s="34"/>
      <c r="DB12" s="34"/>
    </row>
    <row r="13" spans="1:106" ht="14.25" customHeight="1" thickBot="1">
      <c r="A13" s="10" t="s">
        <v>99</v>
      </c>
      <c r="B13" s="10">
        <v>1</v>
      </c>
      <c r="C13" s="10" t="s">
        <v>83</v>
      </c>
      <c r="D13" s="10" t="s">
        <v>100</v>
      </c>
      <c r="E13" s="10" t="s">
        <v>101</v>
      </c>
      <c r="F13" s="17">
        <v>38088</v>
      </c>
      <c r="G13" s="12" t="s">
        <v>81</v>
      </c>
      <c r="H13" s="10">
        <v>22</v>
      </c>
      <c r="I13" s="2">
        <v>97.7</v>
      </c>
      <c r="J13" s="2">
        <v>207</v>
      </c>
      <c r="K13" s="2">
        <v>41.5</v>
      </c>
      <c r="L13" s="1"/>
      <c r="M13" s="9" t="s">
        <v>166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28" si="19">U13+V13</f>
        <v>62.1</v>
      </c>
      <c r="Z13" s="1">
        <f t="shared" ref="Z13:Z28" si="20">W13+X13</f>
        <v>55.2</v>
      </c>
      <c r="AA13" s="1">
        <f t="shared" ref="AA13:AA28" si="21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2">
        <v>5516</v>
      </c>
      <c r="AR13" s="2">
        <v>11.6</v>
      </c>
      <c r="AS13" s="2">
        <v>15.1</v>
      </c>
      <c r="AT13" s="1"/>
      <c r="AU13" s="1"/>
      <c r="AV13" s="2">
        <v>234</v>
      </c>
      <c r="AW13" s="1"/>
      <c r="AX13" s="1"/>
      <c r="AY13" s="1"/>
      <c r="AZ13" s="1"/>
      <c r="BA13" s="1"/>
      <c r="BB13" s="1"/>
      <c r="BC13" s="1"/>
      <c r="BD13" s="2">
        <v>355</v>
      </c>
      <c r="BE13" s="1">
        <f t="shared" si="16"/>
        <v>3.6335721596724668</v>
      </c>
      <c r="BF13" s="2">
        <v>330</v>
      </c>
      <c r="BG13" s="1">
        <f t="shared" si="5"/>
        <v>3.3776867963152508</v>
      </c>
      <c r="BH13" s="2">
        <v>221</v>
      </c>
      <c r="BI13" s="1">
        <f t="shared" si="6"/>
        <v>2.262026612077789</v>
      </c>
      <c r="BJ13" s="2">
        <v>215</v>
      </c>
      <c r="BK13" s="1">
        <f t="shared" si="7"/>
        <v>2.2006141248720574</v>
      </c>
      <c r="BL13" s="2">
        <v>164</v>
      </c>
      <c r="BM13" s="1">
        <f t="shared" si="8"/>
        <v>1.6786079836233367</v>
      </c>
      <c r="BN13" s="2">
        <v>179</v>
      </c>
      <c r="BO13" s="1">
        <f t="shared" si="9"/>
        <v>1.8321392016376663</v>
      </c>
      <c r="BP13" s="2">
        <v>184</v>
      </c>
      <c r="BQ13" s="1">
        <f t="shared" si="10"/>
        <v>1.8833162743091094</v>
      </c>
      <c r="BR13" s="2">
        <v>196</v>
      </c>
      <c r="BS13" s="1">
        <f t="shared" si="11"/>
        <v>2.006141248720573</v>
      </c>
      <c r="BT13" s="2">
        <v>238</v>
      </c>
      <c r="BU13" s="1">
        <f t="shared" si="12"/>
        <v>2.4360286591606961</v>
      </c>
      <c r="BV13" s="2">
        <v>199</v>
      </c>
      <c r="BW13" s="1">
        <f t="shared" si="17"/>
        <v>2.0368474923234392</v>
      </c>
      <c r="BX13" s="1">
        <f t="shared" si="14"/>
        <v>1.0769230769230769</v>
      </c>
      <c r="BY13" s="1">
        <f t="shared" si="18"/>
        <v>0.92558139534883721</v>
      </c>
      <c r="BZ13" s="33">
        <v>4</v>
      </c>
      <c r="CA13" s="33">
        <v>9</v>
      </c>
      <c r="CB13" s="33" t="s">
        <v>181</v>
      </c>
      <c r="CC13" s="33" t="s">
        <v>182</v>
      </c>
      <c r="CD13" s="33">
        <v>4</v>
      </c>
      <c r="CE13" s="33" t="s">
        <v>176</v>
      </c>
      <c r="CF13" s="33" t="s">
        <v>180</v>
      </c>
      <c r="CG13" s="33" t="s">
        <v>175</v>
      </c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3" t="e">
        <v>#DIV/0!</v>
      </c>
      <c r="CS13" s="32"/>
      <c r="CT13" s="32"/>
      <c r="CU13" s="32"/>
      <c r="CV13" s="32"/>
      <c r="CW13" s="32"/>
      <c r="CX13" s="32"/>
      <c r="CY13" s="32"/>
      <c r="CZ13" s="32"/>
      <c r="DA13" s="32"/>
      <c r="DB13" s="32"/>
    </row>
    <row r="14" spans="1:106" ht="14.25" customHeight="1" thickBot="1">
      <c r="A14" s="6" t="s">
        <v>102</v>
      </c>
      <c r="B14" s="6">
        <v>85</v>
      </c>
      <c r="C14" s="6"/>
      <c r="D14" s="6" t="s">
        <v>84</v>
      </c>
      <c r="E14" s="6" t="s">
        <v>85</v>
      </c>
      <c r="F14" s="7">
        <v>38706</v>
      </c>
      <c r="G14" s="8" t="s">
        <v>81</v>
      </c>
      <c r="H14" s="5">
        <v>20</v>
      </c>
      <c r="I14" s="2">
        <v>85.3</v>
      </c>
      <c r="J14" s="2">
        <v>184</v>
      </c>
      <c r="K14" s="1"/>
      <c r="L14" s="1"/>
      <c r="M14" s="9" t="s">
        <v>166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9"/>
        <v>0</v>
      </c>
      <c r="Z14" s="1">
        <f t="shared" si="20"/>
        <v>0</v>
      </c>
      <c r="AA14" s="1" t="e">
        <f t="shared" si="21"/>
        <v>#DIV/0!</v>
      </c>
      <c r="AB14" s="1"/>
      <c r="AC14" s="1"/>
      <c r="AD14" s="1"/>
      <c r="AE14" s="1"/>
      <c r="AF14" s="1"/>
      <c r="AG14" s="1"/>
      <c r="AH14" s="1">
        <f t="shared" ref="AH14:AH19" si="22">AG14/I14</f>
        <v>0</v>
      </c>
      <c r="AI14" s="1"/>
      <c r="AJ14" s="1">
        <f t="shared" ref="AJ14:AJ19" si="23">AI14/I14</f>
        <v>0</v>
      </c>
      <c r="AK14" s="1"/>
      <c r="AL14" s="1"/>
      <c r="AM14" s="1"/>
      <c r="AN14" s="1"/>
      <c r="AO14" s="1"/>
      <c r="AP14" s="1"/>
      <c r="AQ14" s="2">
        <v>2376</v>
      </c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>
        <f t="shared" si="16"/>
        <v>0</v>
      </c>
      <c r="BF14" s="1"/>
      <c r="BG14" s="1">
        <f t="shared" si="5"/>
        <v>0</v>
      </c>
      <c r="BH14" s="1"/>
      <c r="BI14" s="1">
        <f t="shared" si="6"/>
        <v>0</v>
      </c>
      <c r="BJ14" s="1"/>
      <c r="BK14" s="1">
        <f t="shared" si="7"/>
        <v>0</v>
      </c>
      <c r="BL14" s="1"/>
      <c r="BM14" s="1">
        <f t="shared" si="8"/>
        <v>0</v>
      </c>
      <c r="BN14" s="1"/>
      <c r="BO14" s="1">
        <f t="shared" si="9"/>
        <v>0</v>
      </c>
      <c r="BP14" s="1"/>
      <c r="BQ14" s="1">
        <f t="shared" si="10"/>
        <v>0</v>
      </c>
      <c r="BR14" s="1"/>
      <c r="BS14" s="1">
        <f t="shared" si="11"/>
        <v>0</v>
      </c>
      <c r="BT14" s="1"/>
      <c r="BU14" s="1">
        <f t="shared" si="12"/>
        <v>0</v>
      </c>
      <c r="BV14" s="1"/>
      <c r="BW14" s="1">
        <f t="shared" si="17"/>
        <v>0</v>
      </c>
      <c r="BX14" s="1" t="e">
        <f t="shared" si="14"/>
        <v>#DIV/0!</v>
      </c>
      <c r="BY14" s="1" t="e">
        <f t="shared" si="18"/>
        <v>#DIV/0!</v>
      </c>
      <c r="BZ14" s="31" t="s">
        <v>183</v>
      </c>
      <c r="CA14" s="31">
        <v>8</v>
      </c>
      <c r="CB14" s="31">
        <v>2</v>
      </c>
      <c r="CC14" s="31">
        <v>8</v>
      </c>
      <c r="CD14" s="31">
        <v>5</v>
      </c>
      <c r="CE14" s="31">
        <v>10</v>
      </c>
      <c r="CF14" s="31" t="s">
        <v>180</v>
      </c>
      <c r="CG14" s="31" t="s">
        <v>176</v>
      </c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9">
        <v>0</v>
      </c>
      <c r="CS14" s="34"/>
      <c r="CT14" s="34"/>
      <c r="CU14" s="34"/>
      <c r="CV14" s="34"/>
      <c r="CW14" s="34"/>
      <c r="CX14" s="34"/>
      <c r="CY14" s="34"/>
      <c r="CZ14" s="34"/>
      <c r="DA14" s="34"/>
      <c r="DB14" s="34"/>
    </row>
    <row r="15" spans="1:106" ht="14.25" customHeight="1" thickBot="1">
      <c r="A15" s="13" t="s">
        <v>103</v>
      </c>
      <c r="B15" s="10">
        <v>22</v>
      </c>
      <c r="C15" s="10" t="s">
        <v>78</v>
      </c>
      <c r="D15" s="10" t="s">
        <v>79</v>
      </c>
      <c r="E15" s="10" t="s">
        <v>104</v>
      </c>
      <c r="F15" s="11">
        <v>37867</v>
      </c>
      <c r="G15" s="12" t="s">
        <v>81</v>
      </c>
      <c r="H15" s="13">
        <v>22</v>
      </c>
      <c r="I15" s="2">
        <v>88</v>
      </c>
      <c r="J15" s="2">
        <v>189.2</v>
      </c>
      <c r="K15" s="2">
        <v>41.5</v>
      </c>
      <c r="L15" s="1"/>
      <c r="M15" s="9" t="s">
        <v>166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9"/>
        <v>56</v>
      </c>
      <c r="Z15" s="1">
        <f t="shared" si="20"/>
        <v>57.4</v>
      </c>
      <c r="AA15" s="1">
        <f t="shared" si="21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22"/>
        <v>0</v>
      </c>
      <c r="AI15" s="1"/>
      <c r="AJ15" s="1">
        <f t="shared" si="2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">
        <v>16</v>
      </c>
      <c r="AV15" s="1"/>
      <c r="AW15" s="1"/>
      <c r="AX15" s="1"/>
      <c r="AY15" s="1"/>
      <c r="AZ15" s="1"/>
      <c r="BA15" s="1"/>
      <c r="BB15" s="1"/>
      <c r="BC15" s="1"/>
      <c r="BD15" s="2">
        <v>284</v>
      </c>
      <c r="BE15" s="1">
        <f t="shared" si="16"/>
        <v>3.2272727272727271</v>
      </c>
      <c r="BF15" s="2">
        <v>264</v>
      </c>
      <c r="BG15" s="1">
        <f t="shared" si="5"/>
        <v>3</v>
      </c>
      <c r="BH15" s="2">
        <v>181</v>
      </c>
      <c r="BI15" s="1">
        <f t="shared" si="6"/>
        <v>2.0568181818181817</v>
      </c>
      <c r="BJ15" s="2">
        <v>195</v>
      </c>
      <c r="BK15" s="1">
        <f t="shared" si="7"/>
        <v>2.2159090909090908</v>
      </c>
      <c r="BL15" s="2">
        <v>185</v>
      </c>
      <c r="BM15" s="1">
        <f t="shared" si="8"/>
        <v>2.1022727272727271</v>
      </c>
      <c r="BN15" s="2">
        <v>158</v>
      </c>
      <c r="BO15" s="1">
        <f t="shared" si="9"/>
        <v>1.7954545454545454</v>
      </c>
      <c r="BP15" s="2">
        <v>171</v>
      </c>
      <c r="BQ15" s="1">
        <f t="shared" si="10"/>
        <v>1.9431818181818181</v>
      </c>
      <c r="BR15" s="2">
        <v>123</v>
      </c>
      <c r="BS15" s="1">
        <f t="shared" si="11"/>
        <v>1.3977272727272727</v>
      </c>
      <c r="BT15" s="2">
        <v>211</v>
      </c>
      <c r="BU15" s="1">
        <f t="shared" si="12"/>
        <v>2.3977272727272729</v>
      </c>
      <c r="BV15" s="2">
        <v>164</v>
      </c>
      <c r="BW15" s="1">
        <f t="shared" si="17"/>
        <v>1.8636363636363635</v>
      </c>
      <c r="BX15" s="1">
        <f t="shared" si="14"/>
        <v>1.1657458563535912</v>
      </c>
      <c r="BY15" s="1">
        <f t="shared" si="18"/>
        <v>0.84102564102564104</v>
      </c>
      <c r="BZ15" s="33" t="s">
        <v>176</v>
      </c>
      <c r="CA15" s="33" t="s">
        <v>184</v>
      </c>
      <c r="CB15" s="33">
        <v>3</v>
      </c>
      <c r="CC15" s="33">
        <v>5</v>
      </c>
      <c r="CD15" s="33">
        <v>4</v>
      </c>
      <c r="CE15" s="33" t="s">
        <v>180</v>
      </c>
      <c r="CF15" s="33" t="s">
        <v>176</v>
      </c>
      <c r="CG15" s="33" t="s">
        <v>175</v>
      </c>
      <c r="CH15" s="33" t="s">
        <v>83</v>
      </c>
      <c r="CI15" s="33">
        <v>15</v>
      </c>
      <c r="CJ15" s="33">
        <v>2</v>
      </c>
      <c r="CK15" s="33">
        <v>2.59</v>
      </c>
      <c r="CL15" s="33">
        <v>1.2</v>
      </c>
      <c r="CM15" s="33">
        <v>7.91</v>
      </c>
      <c r="CN15" s="33">
        <v>19.54</v>
      </c>
      <c r="CO15" s="33">
        <v>1719.52</v>
      </c>
      <c r="CP15" s="33">
        <v>7.72</v>
      </c>
      <c r="CQ15" s="33">
        <v>27.792000000000002</v>
      </c>
      <c r="CR15" s="40">
        <v>0.76559999999999995</v>
      </c>
      <c r="CS15" s="33">
        <v>1.01</v>
      </c>
      <c r="CT15" s="33">
        <v>2.2599999999999998</v>
      </c>
      <c r="CU15" s="33">
        <v>11.58</v>
      </c>
      <c r="CV15" s="33">
        <v>758</v>
      </c>
      <c r="CW15" s="33">
        <v>8.81</v>
      </c>
      <c r="CX15" s="33">
        <v>775.28</v>
      </c>
      <c r="CY15" s="33">
        <v>8.8800000000000008</v>
      </c>
      <c r="CZ15" s="33">
        <v>31.968</v>
      </c>
      <c r="DA15" s="33">
        <v>8.61</v>
      </c>
      <c r="DB15" s="33">
        <v>30.995999999999999</v>
      </c>
    </row>
    <row r="16" spans="1:106" ht="14.25" customHeight="1" thickBot="1">
      <c r="A16" s="5" t="s">
        <v>105</v>
      </c>
      <c r="B16" s="6">
        <v>6</v>
      </c>
      <c r="C16" s="6" t="s">
        <v>78</v>
      </c>
      <c r="D16" s="6" t="s">
        <v>93</v>
      </c>
      <c r="E16" s="6" t="s">
        <v>106</v>
      </c>
      <c r="F16" s="15">
        <v>36637</v>
      </c>
      <c r="G16" s="8" t="s">
        <v>81</v>
      </c>
      <c r="H16" s="5">
        <v>26</v>
      </c>
      <c r="I16" s="2">
        <v>66.599999999999994</v>
      </c>
      <c r="J16" s="2">
        <v>173</v>
      </c>
      <c r="K16" s="1"/>
      <c r="L16" s="1"/>
      <c r="M16" s="9" t="s">
        <v>166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9"/>
        <v>53.9</v>
      </c>
      <c r="Z16" s="1">
        <f t="shared" si="20"/>
        <v>44.2</v>
      </c>
      <c r="AA16" s="1">
        <f t="shared" si="21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22"/>
        <v>0</v>
      </c>
      <c r="AI16" s="1"/>
      <c r="AJ16" s="1">
        <f t="shared" si="2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">
        <v>17.5</v>
      </c>
      <c r="AV16" s="2">
        <v>204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 t="shared" si="16"/>
        <v>2.8198198198198203</v>
      </c>
      <c r="BF16" s="2">
        <v>197.7</v>
      </c>
      <c r="BG16" s="1">
        <f t="shared" si="5"/>
        <v>2.9684684684684686</v>
      </c>
      <c r="BH16" s="2">
        <v>132.69999999999999</v>
      </c>
      <c r="BI16" s="1">
        <f t="shared" si="6"/>
        <v>1.9924924924924925</v>
      </c>
      <c r="BJ16" s="2">
        <v>131.30000000000001</v>
      </c>
      <c r="BK16" s="1">
        <f t="shared" si="7"/>
        <v>1.9714714714714718</v>
      </c>
      <c r="BL16" s="2">
        <v>133</v>
      </c>
      <c r="BM16" s="1">
        <f t="shared" si="8"/>
        <v>1.9969969969969972</v>
      </c>
      <c r="BN16" s="2">
        <v>121.9</v>
      </c>
      <c r="BO16" s="1">
        <f t="shared" si="9"/>
        <v>1.8303303303303307</v>
      </c>
      <c r="BP16" s="2">
        <v>102.2</v>
      </c>
      <c r="BQ16" s="1">
        <f t="shared" si="10"/>
        <v>1.5345345345345347</v>
      </c>
      <c r="BR16" s="2">
        <v>91.1</v>
      </c>
      <c r="BS16" s="1">
        <f t="shared" si="11"/>
        <v>1.367867867867868</v>
      </c>
      <c r="BT16" s="2">
        <v>117.8</v>
      </c>
      <c r="BU16" s="1">
        <f t="shared" si="12"/>
        <v>1.768768768768769</v>
      </c>
      <c r="BV16" s="2">
        <v>86.1</v>
      </c>
      <c r="BW16" s="1">
        <f t="shared" si="17"/>
        <v>1.2927927927927929</v>
      </c>
      <c r="BX16" s="1">
        <f t="shared" si="14"/>
        <v>0.8877166541070084</v>
      </c>
      <c r="BY16" s="1">
        <f t="shared" si="18"/>
        <v>0.65575019040365568</v>
      </c>
      <c r="BZ16" s="31">
        <v>5</v>
      </c>
      <c r="CA16" s="31" t="s">
        <v>182</v>
      </c>
      <c r="CB16" s="31" t="s">
        <v>179</v>
      </c>
      <c r="CC16" s="31" t="s">
        <v>177</v>
      </c>
      <c r="CD16" s="31" t="s">
        <v>176</v>
      </c>
      <c r="CE16" s="31" t="s">
        <v>180</v>
      </c>
      <c r="CF16" s="31" t="s">
        <v>180</v>
      </c>
      <c r="CG16" s="31">
        <v>4</v>
      </c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9">
        <v>0</v>
      </c>
      <c r="CS16" s="34"/>
      <c r="CT16" s="34"/>
      <c r="CU16" s="34"/>
      <c r="CV16" s="34"/>
      <c r="CW16" s="34"/>
      <c r="CX16" s="34"/>
      <c r="CY16" s="34"/>
      <c r="CZ16" s="34"/>
      <c r="DA16" s="34"/>
      <c r="DB16" s="34"/>
    </row>
    <row r="17" spans="1:106" ht="14.25" customHeight="1" thickBot="1">
      <c r="A17" s="10" t="s">
        <v>107</v>
      </c>
      <c r="B17" s="10">
        <v>21</v>
      </c>
      <c r="C17" s="10" t="s">
        <v>83</v>
      </c>
      <c r="D17" s="10" t="s">
        <v>79</v>
      </c>
      <c r="E17" s="10" t="s">
        <v>80</v>
      </c>
      <c r="F17" s="11">
        <v>39637</v>
      </c>
      <c r="G17" s="12" t="s">
        <v>81</v>
      </c>
      <c r="H17" s="13">
        <v>18</v>
      </c>
      <c r="I17" s="2">
        <v>72.599999999999994</v>
      </c>
      <c r="J17" s="2">
        <v>175.3</v>
      </c>
      <c r="K17" s="2">
        <v>62</v>
      </c>
      <c r="L17" s="1"/>
      <c r="M17" s="9" t="s">
        <v>166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9"/>
        <v>39.299999999999997</v>
      </c>
      <c r="Z17" s="1">
        <f t="shared" si="20"/>
        <v>39.200000000000003</v>
      </c>
      <c r="AA17" s="1">
        <f t="shared" si="21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22"/>
        <v>0</v>
      </c>
      <c r="AI17" s="1"/>
      <c r="AJ17" s="1">
        <f t="shared" si="2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2">
        <v>6917</v>
      </c>
      <c r="AR17" s="2">
        <v>12.1</v>
      </c>
      <c r="AS17" s="2">
        <v>15.1</v>
      </c>
      <c r="AT17" s="2"/>
      <c r="AU17" s="2">
        <v>15</v>
      </c>
      <c r="AV17" s="2">
        <v>219</v>
      </c>
      <c r="AW17" s="1"/>
      <c r="AX17" s="1"/>
      <c r="AY17" s="1"/>
      <c r="AZ17" s="1"/>
      <c r="BA17" s="1"/>
      <c r="BB17" s="1"/>
      <c r="BC17" s="1"/>
      <c r="BD17" s="2">
        <v>218</v>
      </c>
      <c r="BE17" s="1">
        <f t="shared" si="16"/>
        <v>3.0027548209366395</v>
      </c>
      <c r="BF17" s="2">
        <v>236</v>
      </c>
      <c r="BG17" s="1">
        <f t="shared" si="5"/>
        <v>3.2506887052341602</v>
      </c>
      <c r="BH17" s="2">
        <v>175</v>
      </c>
      <c r="BI17" s="1">
        <f t="shared" si="6"/>
        <v>2.4104683195592287</v>
      </c>
      <c r="BJ17" s="2">
        <v>211</v>
      </c>
      <c r="BK17" s="1">
        <f t="shared" si="7"/>
        <v>2.9063360881542701</v>
      </c>
      <c r="BL17" s="2">
        <v>118</v>
      </c>
      <c r="BM17" s="1">
        <f t="shared" si="8"/>
        <v>1.6253443526170801</v>
      </c>
      <c r="BN17" s="2">
        <v>140</v>
      </c>
      <c r="BO17" s="1">
        <f t="shared" si="9"/>
        <v>1.9283746556473831</v>
      </c>
      <c r="BP17" s="2">
        <v>95</v>
      </c>
      <c r="BQ17" s="1">
        <f t="shared" si="10"/>
        <v>1.3085399449035813</v>
      </c>
      <c r="BR17" s="2">
        <v>123</v>
      </c>
      <c r="BS17" s="1">
        <f t="shared" si="11"/>
        <v>1.694214876033058</v>
      </c>
      <c r="BT17" s="2">
        <v>131</v>
      </c>
      <c r="BU17" s="1">
        <f t="shared" si="12"/>
        <v>1.8044077134986227</v>
      </c>
      <c r="BV17" s="2">
        <v>172</v>
      </c>
      <c r="BW17" s="1">
        <f t="shared" si="17"/>
        <v>2.3691460055096423</v>
      </c>
      <c r="BX17" s="1">
        <f t="shared" si="14"/>
        <v>0.74857142857142855</v>
      </c>
      <c r="BY17" s="1">
        <f t="shared" si="18"/>
        <v>0.81516587677725116</v>
      </c>
      <c r="BZ17" s="33" t="s">
        <v>182</v>
      </c>
      <c r="CA17" s="33" t="s">
        <v>182</v>
      </c>
      <c r="CB17" s="33">
        <v>3</v>
      </c>
      <c r="CC17" s="33">
        <v>14</v>
      </c>
      <c r="CD17" s="33">
        <v>5</v>
      </c>
      <c r="CE17" s="33" t="s">
        <v>178</v>
      </c>
      <c r="CF17" s="33" t="s">
        <v>178</v>
      </c>
      <c r="CG17" s="33">
        <v>6</v>
      </c>
      <c r="CH17" s="33" t="s">
        <v>78</v>
      </c>
      <c r="CI17" s="33">
        <v>15</v>
      </c>
      <c r="CJ17" s="33">
        <v>0</v>
      </c>
      <c r="CK17" s="33">
        <v>2.69</v>
      </c>
      <c r="CL17" s="33">
        <v>1.22</v>
      </c>
      <c r="CM17" s="33">
        <v>8.1</v>
      </c>
      <c r="CN17" s="32"/>
      <c r="CO17" s="33">
        <v>0</v>
      </c>
      <c r="CP17" s="33">
        <v>7.31</v>
      </c>
      <c r="CQ17" s="33">
        <v>26.315999999999999</v>
      </c>
      <c r="CR17" s="33" t="e">
        <v>#DIV/0!</v>
      </c>
      <c r="CS17" s="32"/>
      <c r="CT17" s="32"/>
      <c r="CU17" s="32"/>
      <c r="CV17" s="32"/>
      <c r="CW17" s="32"/>
      <c r="CX17" s="33">
        <v>0</v>
      </c>
      <c r="CY17" s="32"/>
      <c r="CZ17" s="33">
        <v>0</v>
      </c>
      <c r="DA17" s="32"/>
      <c r="DB17" s="33">
        <v>0</v>
      </c>
    </row>
    <row r="18" spans="1:106" ht="14.25" customHeight="1" thickBot="1">
      <c r="A18" s="6" t="s">
        <v>108</v>
      </c>
      <c r="B18" s="6">
        <v>28</v>
      </c>
      <c r="C18" s="6" t="s">
        <v>83</v>
      </c>
      <c r="D18" s="6" t="s">
        <v>79</v>
      </c>
      <c r="E18" s="6" t="s">
        <v>104</v>
      </c>
      <c r="F18" s="15">
        <v>38099</v>
      </c>
      <c r="G18" s="8" t="s">
        <v>81</v>
      </c>
      <c r="H18" s="5">
        <v>22</v>
      </c>
      <c r="I18" s="2">
        <v>80</v>
      </c>
      <c r="J18" s="2">
        <v>185</v>
      </c>
      <c r="K18" s="1"/>
      <c r="L18" s="1"/>
      <c r="M18" s="9" t="s">
        <v>166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9"/>
        <v>50.5</v>
      </c>
      <c r="Z18" s="1">
        <f t="shared" si="20"/>
        <v>43.4</v>
      </c>
      <c r="AA18" s="1">
        <f t="shared" si="21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22"/>
        <v>0</v>
      </c>
      <c r="AI18" s="1"/>
      <c r="AJ18" s="1">
        <f t="shared" si="2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2">
        <v>219</v>
      </c>
      <c r="AW18" s="1"/>
      <c r="AX18" s="1"/>
      <c r="AY18" s="1"/>
      <c r="AZ18" s="1"/>
      <c r="BA18" s="1"/>
      <c r="BB18" s="1"/>
      <c r="BC18" s="1"/>
      <c r="BD18" s="2">
        <v>262</v>
      </c>
      <c r="BE18" s="1">
        <f t="shared" si="16"/>
        <v>3.2749999999999999</v>
      </c>
      <c r="BF18" s="2">
        <v>246</v>
      </c>
      <c r="BG18" s="1">
        <f t="shared" si="5"/>
        <v>3.0750000000000002</v>
      </c>
      <c r="BH18" s="2">
        <v>160</v>
      </c>
      <c r="BI18" s="1">
        <f t="shared" si="6"/>
        <v>2</v>
      </c>
      <c r="BJ18" s="2">
        <v>167</v>
      </c>
      <c r="BK18" s="1">
        <f t="shared" si="7"/>
        <v>2.0874999999999999</v>
      </c>
      <c r="BL18" s="2">
        <v>124</v>
      </c>
      <c r="BM18" s="1">
        <f t="shared" si="8"/>
        <v>1.55</v>
      </c>
      <c r="BN18" s="2">
        <v>125</v>
      </c>
      <c r="BO18" s="1">
        <f t="shared" si="9"/>
        <v>1.5625</v>
      </c>
      <c r="BP18" s="2">
        <v>83</v>
      </c>
      <c r="BQ18" s="1">
        <f t="shared" si="10"/>
        <v>1.0375000000000001</v>
      </c>
      <c r="BR18" s="2">
        <v>92</v>
      </c>
      <c r="BS18" s="1">
        <f t="shared" si="11"/>
        <v>1.1499999999999999</v>
      </c>
      <c r="BT18" s="2">
        <v>146</v>
      </c>
      <c r="BU18" s="1">
        <f t="shared" si="12"/>
        <v>1.825</v>
      </c>
      <c r="BV18" s="2">
        <v>144</v>
      </c>
      <c r="BW18" s="1">
        <f t="shared" si="17"/>
        <v>1.8</v>
      </c>
      <c r="BX18" s="1">
        <f t="shared" si="14"/>
        <v>0.91249999999999998</v>
      </c>
      <c r="BY18" s="1">
        <f t="shared" si="18"/>
        <v>0.86227544910179643</v>
      </c>
      <c r="BZ18" s="31">
        <v>4</v>
      </c>
      <c r="CA18" s="31">
        <v>7</v>
      </c>
      <c r="CB18" s="31" t="s">
        <v>181</v>
      </c>
      <c r="CC18" s="31" t="s">
        <v>183</v>
      </c>
      <c r="CD18" s="31" t="s">
        <v>176</v>
      </c>
      <c r="CE18" s="31">
        <v>6</v>
      </c>
      <c r="CF18" s="31">
        <v>5</v>
      </c>
      <c r="CG18" s="31" t="s">
        <v>175</v>
      </c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1" t="e">
        <v>#DIV/0!</v>
      </c>
      <c r="CS18" s="34"/>
      <c r="CT18" s="34"/>
      <c r="CU18" s="34"/>
      <c r="CV18" s="34"/>
      <c r="CW18" s="34"/>
      <c r="CX18" s="34"/>
      <c r="CY18" s="34"/>
      <c r="CZ18" s="34"/>
      <c r="DA18" s="34"/>
      <c r="DB18" s="34"/>
    </row>
    <row r="19" spans="1:106" ht="14.25" customHeight="1" thickBot="1">
      <c r="A19" s="13" t="s">
        <v>109</v>
      </c>
      <c r="B19" s="10">
        <v>2</v>
      </c>
      <c r="C19" s="10" t="s">
        <v>83</v>
      </c>
      <c r="D19" s="10" t="s">
        <v>79</v>
      </c>
      <c r="E19" s="10" t="s">
        <v>104</v>
      </c>
      <c r="F19" s="11">
        <v>35576</v>
      </c>
      <c r="G19" s="12" t="s">
        <v>81</v>
      </c>
      <c r="H19" s="13">
        <v>29</v>
      </c>
      <c r="I19" s="2">
        <v>86.1</v>
      </c>
      <c r="J19" s="2">
        <v>189.1</v>
      </c>
      <c r="K19" s="2">
        <v>50</v>
      </c>
      <c r="L19" s="1"/>
      <c r="M19" s="9" t="s">
        <v>166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9"/>
        <v>36.700000000000003</v>
      </c>
      <c r="Z19" s="1">
        <f t="shared" si="20"/>
        <v>47.099999999999994</v>
      </c>
      <c r="AA19" s="1">
        <f t="shared" si="21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22"/>
        <v>0</v>
      </c>
      <c r="AI19" s="1"/>
      <c r="AJ19" s="1">
        <f t="shared" si="2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2">
        <v>4375</v>
      </c>
      <c r="AR19" s="16">
        <v>11.5</v>
      </c>
      <c r="AS19" s="16">
        <v>14.8</v>
      </c>
      <c r="AT19" s="1"/>
      <c r="AU19" s="2">
        <v>15</v>
      </c>
      <c r="AV19" s="1"/>
      <c r="AW19" s="1"/>
      <c r="AX19" s="1"/>
      <c r="AY19" s="1"/>
      <c r="AZ19" s="1"/>
      <c r="BA19" s="1"/>
      <c r="BB19" s="1"/>
      <c r="BC19" s="1"/>
      <c r="BD19" s="2">
        <v>221</v>
      </c>
      <c r="BE19" s="1">
        <f t="shared" si="16"/>
        <v>2.5667828106852499</v>
      </c>
      <c r="BF19" s="2">
        <v>306</v>
      </c>
      <c r="BG19" s="1">
        <f t="shared" si="5"/>
        <v>3.5540069686411151</v>
      </c>
      <c r="BH19" s="2">
        <v>188</v>
      </c>
      <c r="BI19" s="1">
        <f t="shared" si="6"/>
        <v>2.1835075493612082</v>
      </c>
      <c r="BJ19" s="2">
        <v>217</v>
      </c>
      <c r="BK19" s="1">
        <f t="shared" si="7"/>
        <v>2.5203252032520327</v>
      </c>
      <c r="BL19" s="2">
        <v>146</v>
      </c>
      <c r="BM19" s="1">
        <f t="shared" si="8"/>
        <v>1.6957026713124275</v>
      </c>
      <c r="BN19" s="2">
        <v>149</v>
      </c>
      <c r="BO19" s="1">
        <f t="shared" si="9"/>
        <v>1.7305458768873405</v>
      </c>
      <c r="BP19" s="2">
        <v>82</v>
      </c>
      <c r="BQ19" s="1">
        <f t="shared" si="10"/>
        <v>0.95238095238095244</v>
      </c>
      <c r="BR19" s="2">
        <v>111</v>
      </c>
      <c r="BS19" s="1">
        <f t="shared" si="11"/>
        <v>1.2891986062717771</v>
      </c>
      <c r="BT19" s="2">
        <v>185</v>
      </c>
      <c r="BU19" s="1">
        <f t="shared" si="12"/>
        <v>2.1486643437862951</v>
      </c>
      <c r="BV19" s="2">
        <v>168</v>
      </c>
      <c r="BW19" s="1">
        <f t="shared" ref="BW19:BW21" si="24">BV18/I19</f>
        <v>1.6724738675958188</v>
      </c>
      <c r="BX19" s="1">
        <f t="shared" si="14"/>
        <v>0.98404255319148937</v>
      </c>
      <c r="BY19" s="1">
        <f t="shared" si="18"/>
        <v>0.77419354838709675</v>
      </c>
      <c r="BZ19" s="33" t="s">
        <v>176</v>
      </c>
      <c r="CA19" s="33" t="s">
        <v>177</v>
      </c>
      <c r="CB19" s="33">
        <v>2</v>
      </c>
      <c r="CC19" s="33">
        <v>11</v>
      </c>
      <c r="CD19" s="33">
        <v>5</v>
      </c>
      <c r="CE19" s="33">
        <v>8</v>
      </c>
      <c r="CF19" s="33" t="s">
        <v>180</v>
      </c>
      <c r="CG19" s="33" t="s">
        <v>176</v>
      </c>
      <c r="CH19" s="33" t="s">
        <v>78</v>
      </c>
      <c r="CI19" s="33">
        <v>15</v>
      </c>
      <c r="CJ19" s="33">
        <v>2</v>
      </c>
      <c r="CK19" s="33">
        <v>2.67</v>
      </c>
      <c r="CL19" s="33">
        <v>1.27</v>
      </c>
      <c r="CM19" s="33">
        <v>7.24</v>
      </c>
      <c r="CN19" s="33">
        <v>19.11</v>
      </c>
      <c r="CO19" s="33">
        <v>1528.8</v>
      </c>
      <c r="CP19" s="33">
        <v>7.63</v>
      </c>
      <c r="CQ19" s="33">
        <v>27.468</v>
      </c>
      <c r="CR19" s="33" t="e">
        <v>#DIV/0!</v>
      </c>
      <c r="CS19" s="33">
        <v>1.01</v>
      </c>
      <c r="CT19" s="33">
        <v>2.27</v>
      </c>
      <c r="CU19" s="33">
        <v>11.5</v>
      </c>
      <c r="CV19" s="33">
        <v>700</v>
      </c>
      <c r="CW19" s="33">
        <v>8.69</v>
      </c>
      <c r="CX19" s="33">
        <v>695.2</v>
      </c>
      <c r="CY19" s="33">
        <v>8.8000000000000007</v>
      </c>
      <c r="CZ19" s="33">
        <v>31.68</v>
      </c>
      <c r="DA19" s="33">
        <v>8.5299999999999994</v>
      </c>
      <c r="DB19" s="33">
        <v>30.707999999999998</v>
      </c>
    </row>
    <row r="20" spans="1:106" ht="14.25" customHeight="1" thickBot="1">
      <c r="A20" s="5" t="s">
        <v>110</v>
      </c>
      <c r="B20" s="6">
        <v>12</v>
      </c>
      <c r="C20" s="10" t="s">
        <v>83</v>
      </c>
      <c r="D20" s="10" t="s">
        <v>100</v>
      </c>
      <c r="E20" s="10" t="s">
        <v>101</v>
      </c>
      <c r="F20" s="17">
        <v>37335</v>
      </c>
      <c r="G20" s="12" t="s">
        <v>81</v>
      </c>
      <c r="H20" s="13">
        <v>24</v>
      </c>
      <c r="I20" s="2">
        <v>90.5</v>
      </c>
      <c r="J20" s="2">
        <v>197</v>
      </c>
      <c r="K20" s="2">
        <v>53</v>
      </c>
      <c r="L20" s="9">
        <v>46210</v>
      </c>
      <c r="M20" s="9" t="s">
        <v>166</v>
      </c>
      <c r="N20" s="2">
        <v>1387</v>
      </c>
      <c r="O20" s="2">
        <v>39</v>
      </c>
      <c r="P20" s="2">
        <v>39</v>
      </c>
      <c r="Q20" s="2">
        <v>9.9</v>
      </c>
      <c r="R20" s="2">
        <v>10.8</v>
      </c>
      <c r="S20" s="2">
        <v>8.6</v>
      </c>
      <c r="T20" s="2">
        <v>10.8</v>
      </c>
      <c r="U20" s="2">
        <v>24.8</v>
      </c>
      <c r="V20" s="2">
        <v>26.3</v>
      </c>
      <c r="W20" s="2">
        <v>27.1</v>
      </c>
      <c r="X20" s="2">
        <v>26.1</v>
      </c>
      <c r="Y20" s="1">
        <f t="shared" si="19"/>
        <v>51.1</v>
      </c>
      <c r="Z20" s="1">
        <f t="shared" si="20"/>
        <v>53.2</v>
      </c>
      <c r="AA20" s="1">
        <f t="shared" si="21"/>
        <v>0.96052631578947367</v>
      </c>
      <c r="AB20" s="2">
        <v>18</v>
      </c>
      <c r="AC20" s="2">
        <v>20</v>
      </c>
      <c r="AD20" s="2">
        <v>11</v>
      </c>
      <c r="AE20" s="2">
        <v>10.5</v>
      </c>
      <c r="AF20" s="2">
        <v>35.5</v>
      </c>
      <c r="AG20" s="1"/>
      <c r="AH20" s="1"/>
      <c r="AI20" s="1"/>
      <c r="AJ20" s="1"/>
      <c r="AK20" s="1"/>
      <c r="AL20" s="1"/>
      <c r="AM20" s="2">
        <v>40.9</v>
      </c>
      <c r="AN20" s="2">
        <f>222.9*9.81</f>
        <v>2186.6490000000003</v>
      </c>
      <c r="AO20" s="2">
        <f>1018*9.81</f>
        <v>9986.58</v>
      </c>
      <c r="AP20" s="2">
        <v>2</v>
      </c>
      <c r="AQ20" s="1"/>
      <c r="AR20" s="16">
        <v>11.4</v>
      </c>
      <c r="AS20" s="16">
        <v>14.7</v>
      </c>
      <c r="AT20" s="1"/>
      <c r="AU20" s="2"/>
      <c r="AV20" s="2"/>
      <c r="AW20" s="1"/>
      <c r="AX20" s="1"/>
      <c r="AY20" s="1"/>
      <c r="AZ20" s="1"/>
      <c r="BA20" s="1"/>
      <c r="BB20" s="1"/>
      <c r="BC20" s="1"/>
      <c r="BD20" s="2">
        <v>287</v>
      </c>
      <c r="BE20" s="1">
        <f t="shared" si="16"/>
        <v>3.1712707182320443</v>
      </c>
      <c r="BF20" s="2">
        <v>304</v>
      </c>
      <c r="BG20" s="1">
        <f t="shared" si="5"/>
        <v>3.3591160220994474</v>
      </c>
      <c r="BH20" s="2">
        <v>207</v>
      </c>
      <c r="BI20" s="1">
        <f t="shared" si="6"/>
        <v>2.2872928176795582</v>
      </c>
      <c r="BJ20" s="2">
        <v>215</v>
      </c>
      <c r="BK20" s="1">
        <f t="shared" si="7"/>
        <v>2.3756906077348066</v>
      </c>
      <c r="BL20" s="2">
        <v>165</v>
      </c>
      <c r="BM20" s="1">
        <f t="shared" si="8"/>
        <v>1.8232044198895028</v>
      </c>
      <c r="BN20" s="2">
        <v>189</v>
      </c>
      <c r="BO20" s="1">
        <f t="shared" si="9"/>
        <v>2.0883977900552488</v>
      </c>
      <c r="BP20" s="2">
        <v>180</v>
      </c>
      <c r="BQ20" s="1">
        <f t="shared" si="10"/>
        <v>1.988950276243094</v>
      </c>
      <c r="BR20" s="2">
        <v>181</v>
      </c>
      <c r="BS20" s="1">
        <f t="shared" si="11"/>
        <v>2</v>
      </c>
      <c r="BT20" s="2">
        <v>172</v>
      </c>
      <c r="BU20" s="1">
        <f t="shared" si="12"/>
        <v>1.9005524861878453</v>
      </c>
      <c r="BV20" s="2">
        <v>227</v>
      </c>
      <c r="BW20" s="1">
        <f t="shared" si="24"/>
        <v>1.8563535911602209</v>
      </c>
      <c r="BX20" s="1">
        <f t="shared" si="14"/>
        <v>0.83091787439613529</v>
      </c>
      <c r="BY20" s="1">
        <f t="shared" si="18"/>
        <v>1.0558139534883721</v>
      </c>
      <c r="BZ20" s="31">
        <v>4</v>
      </c>
      <c r="CA20" s="31">
        <v>7</v>
      </c>
      <c r="CB20" s="31" t="s">
        <v>181</v>
      </c>
      <c r="CC20" s="31" t="s">
        <v>182</v>
      </c>
      <c r="CD20" s="31" t="s">
        <v>183</v>
      </c>
      <c r="CE20" s="31">
        <v>9</v>
      </c>
      <c r="CF20" s="31">
        <v>13</v>
      </c>
      <c r="CG20" s="31" t="s">
        <v>176</v>
      </c>
    </row>
    <row r="21" spans="1:106" ht="14.25" customHeight="1" thickBot="1">
      <c r="A21" s="5" t="s">
        <v>111</v>
      </c>
      <c r="B21" s="6"/>
      <c r="C21" s="6" t="s">
        <v>83</v>
      </c>
      <c r="D21" s="6" t="s">
        <v>93</v>
      </c>
      <c r="E21" s="6" t="s">
        <v>97</v>
      </c>
      <c r="F21" s="15">
        <v>39197</v>
      </c>
      <c r="G21" s="8" t="s">
        <v>81</v>
      </c>
      <c r="H21" s="5">
        <v>19</v>
      </c>
      <c r="I21" s="2">
        <v>69.8</v>
      </c>
      <c r="J21" s="2">
        <v>183</v>
      </c>
      <c r="K21" s="1"/>
      <c r="L21" s="9">
        <v>46219</v>
      </c>
      <c r="M21" s="9" t="s">
        <v>166</v>
      </c>
      <c r="N21" s="2">
        <v>845</v>
      </c>
      <c r="O21" s="2">
        <v>22.5</v>
      </c>
      <c r="P21" s="2">
        <v>27.1</v>
      </c>
      <c r="Q21" s="2">
        <v>7</v>
      </c>
      <c r="R21" s="2">
        <v>5.5</v>
      </c>
      <c r="S21" s="2">
        <v>7.9</v>
      </c>
      <c r="T21" s="2">
        <v>8.1</v>
      </c>
      <c r="U21" s="2">
        <v>22.1</v>
      </c>
      <c r="V21" s="2">
        <v>26</v>
      </c>
      <c r="W21" s="2">
        <v>17.8</v>
      </c>
      <c r="X21" s="2">
        <v>19.7</v>
      </c>
      <c r="Y21" s="1">
        <f t="shared" si="19"/>
        <v>48.1</v>
      </c>
      <c r="Z21" s="1">
        <f t="shared" si="20"/>
        <v>37.5</v>
      </c>
      <c r="AA21" s="1">
        <f t="shared" si="21"/>
        <v>1.2826666666666666</v>
      </c>
      <c r="AB21" s="2">
        <v>14</v>
      </c>
      <c r="AC21" s="2">
        <v>11</v>
      </c>
      <c r="AD21" s="2">
        <v>9</v>
      </c>
      <c r="AE21" s="2">
        <v>11</v>
      </c>
      <c r="AF21" s="2">
        <v>23.5</v>
      </c>
      <c r="AG21" s="1"/>
      <c r="AH21" s="1"/>
      <c r="AI21" s="1"/>
      <c r="AJ21" s="1"/>
      <c r="AK21" s="1"/>
      <c r="AL21" s="1"/>
      <c r="AM21" s="2">
        <v>36.4</v>
      </c>
      <c r="AN21" s="2">
        <v>1568</v>
      </c>
      <c r="AO21" s="2">
        <v>5279</v>
      </c>
      <c r="AP21" s="2">
        <v>2.13</v>
      </c>
      <c r="AQ21" s="2">
        <v>3036</v>
      </c>
      <c r="AR21" s="2"/>
      <c r="AS21" s="2"/>
      <c r="AT21" s="1"/>
      <c r="AU21" s="2"/>
      <c r="AV21" s="2"/>
      <c r="AW21" s="1"/>
      <c r="AX21" s="1"/>
      <c r="AY21" s="1"/>
      <c r="AZ21" s="1"/>
      <c r="BA21" s="1"/>
      <c r="BB21" s="1"/>
      <c r="BC21" s="1"/>
      <c r="BD21" s="2">
        <v>227</v>
      </c>
      <c r="BE21" s="1">
        <f t="shared" si="16"/>
        <v>3.2521489971346704</v>
      </c>
      <c r="BF21" s="2">
        <v>242.3</v>
      </c>
      <c r="BG21" s="1">
        <f t="shared" si="5"/>
        <v>3.4713467048710607</v>
      </c>
      <c r="BH21" s="2">
        <v>126.6</v>
      </c>
      <c r="BI21" s="1">
        <f t="shared" si="6"/>
        <v>1.813753581661891</v>
      </c>
      <c r="BJ21" s="2">
        <v>148.69999999999999</v>
      </c>
      <c r="BK21" s="1">
        <f t="shared" si="7"/>
        <v>2.1303724928366763</v>
      </c>
      <c r="BL21" s="2">
        <v>101.7</v>
      </c>
      <c r="BM21" s="1">
        <f t="shared" si="8"/>
        <v>1.4570200573065903</v>
      </c>
      <c r="BN21" s="2">
        <v>86.2</v>
      </c>
      <c r="BO21" s="1">
        <f t="shared" si="9"/>
        <v>1.2349570200573068</v>
      </c>
      <c r="BP21" s="2">
        <v>84.6</v>
      </c>
      <c r="BQ21" s="1">
        <f t="shared" si="10"/>
        <v>1.2120343839541547</v>
      </c>
      <c r="BR21" s="2">
        <v>96.7</v>
      </c>
      <c r="BS21" s="1">
        <f t="shared" si="11"/>
        <v>1.3853868194842407</v>
      </c>
      <c r="BT21" s="2">
        <v>196.7</v>
      </c>
      <c r="BU21" s="1">
        <f t="shared" si="12"/>
        <v>2.8180515759312321</v>
      </c>
      <c r="BV21" s="2">
        <v>168.9</v>
      </c>
      <c r="BW21" s="1">
        <f t="shared" si="24"/>
        <v>3.2521489971346704</v>
      </c>
      <c r="BX21" s="1">
        <f t="shared" si="14"/>
        <v>1.5537124802527646</v>
      </c>
      <c r="BY21" s="1">
        <f t="shared" si="18"/>
        <v>1.1358439811701413</v>
      </c>
      <c r="BZ21" s="32"/>
      <c r="CA21" s="32"/>
      <c r="CB21" s="32"/>
      <c r="CC21" s="32"/>
      <c r="CD21" s="32"/>
      <c r="CE21" s="32"/>
      <c r="CF21" s="32"/>
      <c r="CG21" s="32"/>
    </row>
    <row r="22" spans="1:106" ht="14.25" customHeight="1" thickBot="1">
      <c r="A22" s="5" t="s">
        <v>112</v>
      </c>
      <c r="B22" s="6">
        <v>30</v>
      </c>
      <c r="C22" s="6" t="s">
        <v>83</v>
      </c>
      <c r="D22" s="6" t="s">
        <v>93</v>
      </c>
      <c r="E22" s="6" t="s">
        <v>106</v>
      </c>
      <c r="F22" s="15">
        <v>37888</v>
      </c>
      <c r="G22" s="8" t="s">
        <v>81</v>
      </c>
      <c r="H22" s="5">
        <v>22</v>
      </c>
      <c r="I22" s="2">
        <v>80.7</v>
      </c>
      <c r="J22" s="2">
        <v>186.5</v>
      </c>
      <c r="K22" s="1"/>
      <c r="L22" s="1"/>
      <c r="M22" s="9" t="s">
        <v>166</v>
      </c>
      <c r="N22" s="2">
        <v>1456</v>
      </c>
      <c r="O22" s="2">
        <v>42.7</v>
      </c>
      <c r="P22" s="2">
        <v>29.3</v>
      </c>
      <c r="Q22" s="2">
        <v>5.4</v>
      </c>
      <c r="R22" s="2">
        <v>5.7</v>
      </c>
      <c r="S22" s="2">
        <v>10.7</v>
      </c>
      <c r="T22" s="2">
        <v>8.8000000000000007</v>
      </c>
      <c r="U22" s="2">
        <v>23.9</v>
      </c>
      <c r="V22" s="2">
        <v>24.2</v>
      </c>
      <c r="W22" s="2">
        <v>30.7</v>
      </c>
      <c r="X22" s="2">
        <v>31.1</v>
      </c>
      <c r="Y22" s="1">
        <f t="shared" si="19"/>
        <v>48.099999999999994</v>
      </c>
      <c r="Z22" s="1">
        <f t="shared" si="20"/>
        <v>61.8</v>
      </c>
      <c r="AA22" s="1">
        <f t="shared" si="21"/>
        <v>0.77831715210355978</v>
      </c>
      <c r="AB22" s="2">
        <v>15</v>
      </c>
      <c r="AC22" s="2">
        <v>15</v>
      </c>
      <c r="AD22" s="2">
        <v>11</v>
      </c>
      <c r="AE22" s="2">
        <v>12</v>
      </c>
      <c r="AF22" s="2">
        <v>16.5</v>
      </c>
      <c r="AG22" s="1"/>
      <c r="AH22" s="1">
        <f t="shared" ref="AH22:AH24" si="25">AG22/I22</f>
        <v>0</v>
      </c>
      <c r="AI22" s="1"/>
      <c r="AJ22" s="1">
        <f t="shared" ref="AJ22:AJ24" si="26">AI22/I22</f>
        <v>0</v>
      </c>
      <c r="AK22" s="1"/>
      <c r="AL22" s="1"/>
      <c r="AM22" s="2">
        <v>39.799999999999997</v>
      </c>
      <c r="AN22" s="2">
        <v>2312</v>
      </c>
      <c r="AO22" s="2">
        <v>13628</v>
      </c>
      <c r="AP22" s="2">
        <v>2.41</v>
      </c>
      <c r="AQ22" s="1"/>
      <c r="AR22" s="2">
        <v>13.3</v>
      </c>
      <c r="AS22" s="2">
        <v>16.7</v>
      </c>
      <c r="AT22" s="1"/>
      <c r="AU22" s="2">
        <v>16.5</v>
      </c>
      <c r="AV22" s="2">
        <v>206</v>
      </c>
      <c r="AW22" s="1"/>
      <c r="AX22" s="1"/>
      <c r="AY22" s="1"/>
      <c r="AZ22" s="1"/>
      <c r="BA22" s="1"/>
      <c r="BB22" s="1"/>
      <c r="BC22" s="1"/>
      <c r="BD22" s="2">
        <v>281</v>
      </c>
      <c r="BE22" s="1">
        <f t="shared" si="16"/>
        <v>3.4820322180916974</v>
      </c>
      <c r="BF22" s="2">
        <v>305</v>
      </c>
      <c r="BG22" s="1">
        <f t="shared" si="5"/>
        <v>3.7794299876084261</v>
      </c>
      <c r="BH22" s="2">
        <v>156</v>
      </c>
      <c r="BI22" s="1">
        <f t="shared" si="6"/>
        <v>1.9330855018587361</v>
      </c>
      <c r="BJ22" s="2">
        <v>180</v>
      </c>
      <c r="BK22" s="1">
        <f t="shared" si="7"/>
        <v>2.2304832713754648</v>
      </c>
      <c r="BL22" s="2">
        <v>173</v>
      </c>
      <c r="BM22" s="1">
        <f t="shared" si="8"/>
        <v>2.1437422552664187</v>
      </c>
      <c r="BN22" s="2">
        <v>162</v>
      </c>
      <c r="BO22" s="1">
        <f t="shared" si="9"/>
        <v>2.007434944237918</v>
      </c>
      <c r="BP22" s="2">
        <v>116</v>
      </c>
      <c r="BQ22" s="1">
        <f t="shared" si="10"/>
        <v>1.4374225526641884</v>
      </c>
      <c r="BR22" s="2">
        <v>158</v>
      </c>
      <c r="BS22" s="1">
        <f t="shared" si="11"/>
        <v>1.9578686493184634</v>
      </c>
      <c r="BT22" s="2">
        <v>215</v>
      </c>
      <c r="BU22" s="1">
        <f t="shared" si="12"/>
        <v>2.6641883519206937</v>
      </c>
      <c r="BV22" s="2">
        <v>234</v>
      </c>
      <c r="BW22" s="1">
        <f t="shared" ref="BW22:BW28" si="27">BV22/I22</f>
        <v>2.8996282527881041</v>
      </c>
      <c r="BX22" s="1">
        <f t="shared" si="14"/>
        <v>1.3782051282051282</v>
      </c>
      <c r="BY22" s="1">
        <f t="shared" si="18"/>
        <v>1.3</v>
      </c>
      <c r="BZ22" s="31" t="s">
        <v>180</v>
      </c>
      <c r="CA22" s="31">
        <v>9</v>
      </c>
      <c r="CB22" s="31">
        <v>2</v>
      </c>
      <c r="CC22" s="31">
        <v>11</v>
      </c>
      <c r="CD22" s="31">
        <v>5</v>
      </c>
      <c r="CE22" s="31">
        <v>8</v>
      </c>
      <c r="CF22" s="31">
        <v>9</v>
      </c>
      <c r="CG22" s="31">
        <v>4</v>
      </c>
    </row>
    <row r="23" spans="1:106" ht="14.25" customHeight="1" thickBot="1">
      <c r="A23" s="5" t="s">
        <v>113</v>
      </c>
      <c r="B23" s="6">
        <v>16</v>
      </c>
      <c r="C23" s="10" t="s">
        <v>78</v>
      </c>
      <c r="D23" s="10" t="s">
        <v>100</v>
      </c>
      <c r="E23" s="10" t="s">
        <v>101</v>
      </c>
      <c r="F23" s="17">
        <v>33541</v>
      </c>
      <c r="G23" s="12" t="s">
        <v>81</v>
      </c>
      <c r="H23" s="13">
        <v>34</v>
      </c>
      <c r="I23" s="2">
        <v>82</v>
      </c>
      <c r="J23" s="2">
        <v>186.5</v>
      </c>
      <c r="K23" s="2">
        <v>54.5</v>
      </c>
      <c r="L23" s="1"/>
      <c r="M23" s="9" t="s">
        <v>166</v>
      </c>
      <c r="N23" s="2">
        <v>1107</v>
      </c>
      <c r="O23" s="2">
        <v>27.9</v>
      </c>
      <c r="P23" s="2">
        <v>26.7</v>
      </c>
      <c r="Q23" s="2">
        <v>12.4</v>
      </c>
      <c r="R23" s="2">
        <v>10.5</v>
      </c>
      <c r="S23" s="2">
        <v>11.7</v>
      </c>
      <c r="T23" s="2">
        <v>8.8000000000000007</v>
      </c>
      <c r="U23" s="2">
        <v>31.3</v>
      </c>
      <c r="V23" s="2">
        <v>32.200000000000003</v>
      </c>
      <c r="W23" s="2">
        <v>25.9</v>
      </c>
      <c r="X23" s="2">
        <v>24.2</v>
      </c>
      <c r="Y23" s="1">
        <f t="shared" si="19"/>
        <v>63.5</v>
      </c>
      <c r="Z23" s="1">
        <f t="shared" si="20"/>
        <v>50.099999999999994</v>
      </c>
      <c r="AA23" s="1">
        <f t="shared" si="21"/>
        <v>1.2674650698602796</v>
      </c>
      <c r="AB23" s="2">
        <v>16</v>
      </c>
      <c r="AC23" s="2">
        <v>15</v>
      </c>
      <c r="AD23" s="2">
        <v>9</v>
      </c>
      <c r="AE23" s="2">
        <v>9</v>
      </c>
      <c r="AF23" s="2">
        <v>20</v>
      </c>
      <c r="AG23" s="1"/>
      <c r="AH23" s="1">
        <f t="shared" si="25"/>
        <v>0</v>
      </c>
      <c r="AI23" s="1"/>
      <c r="AJ23" s="1">
        <f t="shared" si="26"/>
        <v>0</v>
      </c>
      <c r="AK23" s="1"/>
      <c r="AL23" s="1"/>
      <c r="AM23" s="2">
        <v>35.700000000000003</v>
      </c>
      <c r="AN23" s="2">
        <v>2200</v>
      </c>
      <c r="AO23" s="2">
        <v>12458</v>
      </c>
      <c r="AP23" s="2">
        <v>2.2200000000000002</v>
      </c>
      <c r="AQ23" s="1"/>
      <c r="AR23" s="2">
        <v>11.5</v>
      </c>
      <c r="AS23" s="2">
        <v>15.3</v>
      </c>
      <c r="AT23" s="1"/>
      <c r="AU23" s="2">
        <v>16</v>
      </c>
      <c r="AV23" s="2">
        <v>221</v>
      </c>
      <c r="AW23" s="1"/>
      <c r="AX23" s="1"/>
      <c r="AY23" s="1"/>
      <c r="AZ23" s="1"/>
      <c r="BA23" s="1"/>
      <c r="BB23" s="1"/>
      <c r="BC23" s="1"/>
      <c r="BD23" s="2">
        <v>226</v>
      </c>
      <c r="BE23" s="1">
        <f t="shared" si="16"/>
        <v>2.7560975609756095</v>
      </c>
      <c r="BF23" s="2">
        <v>209</v>
      </c>
      <c r="BG23" s="1">
        <f t="shared" si="5"/>
        <v>2.5487804878048781</v>
      </c>
      <c r="BH23" s="2">
        <v>161</v>
      </c>
      <c r="BI23" s="1">
        <f t="shared" si="6"/>
        <v>1.9634146341463414</v>
      </c>
      <c r="BJ23" s="2">
        <v>162</v>
      </c>
      <c r="BK23" s="1">
        <f t="shared" si="7"/>
        <v>1.975609756097561</v>
      </c>
      <c r="BL23" s="2">
        <v>144</v>
      </c>
      <c r="BM23" s="1">
        <f t="shared" si="8"/>
        <v>1.7560975609756098</v>
      </c>
      <c r="BN23" s="2">
        <v>148</v>
      </c>
      <c r="BO23" s="1">
        <f t="shared" si="9"/>
        <v>1.8048780487804879</v>
      </c>
      <c r="BP23" s="2">
        <v>111</v>
      </c>
      <c r="BQ23" s="1">
        <f t="shared" si="10"/>
        <v>1.3536585365853659</v>
      </c>
      <c r="BR23" s="2">
        <v>129</v>
      </c>
      <c r="BS23" s="1">
        <f t="shared" si="11"/>
        <v>1.5731707317073171</v>
      </c>
      <c r="BT23" s="2">
        <v>178</v>
      </c>
      <c r="BU23" s="1">
        <f t="shared" si="12"/>
        <v>2.1707317073170733</v>
      </c>
      <c r="BV23" s="2">
        <v>199</v>
      </c>
      <c r="BW23" s="1">
        <f t="shared" si="27"/>
        <v>2.4268292682926829</v>
      </c>
      <c r="BX23" s="1">
        <f t="shared" si="14"/>
        <v>1.1055900621118013</v>
      </c>
      <c r="BY23" s="1">
        <f t="shared" si="18"/>
        <v>1.228395061728395</v>
      </c>
      <c r="BZ23" s="33" t="s">
        <v>183</v>
      </c>
      <c r="CA23" s="33">
        <v>6</v>
      </c>
      <c r="CB23" s="33">
        <v>2</v>
      </c>
      <c r="CC23" s="33">
        <v>14</v>
      </c>
      <c r="CD23" s="33" t="s">
        <v>182</v>
      </c>
      <c r="CE23" s="33">
        <v>11</v>
      </c>
      <c r="CF23" s="33">
        <v>6</v>
      </c>
      <c r="CG23" s="33" t="s">
        <v>181</v>
      </c>
    </row>
    <row r="24" spans="1:106" ht="14.25" customHeight="1" thickBot="1">
      <c r="A24" s="13" t="s">
        <v>114</v>
      </c>
      <c r="B24" s="10">
        <v>19</v>
      </c>
      <c r="C24" s="6" t="s">
        <v>83</v>
      </c>
      <c r="D24" s="6" t="s">
        <v>84</v>
      </c>
      <c r="E24" s="6" t="s">
        <v>85</v>
      </c>
      <c r="F24" s="15">
        <v>35181</v>
      </c>
      <c r="G24" s="8" t="s">
        <v>81</v>
      </c>
      <c r="H24" s="5">
        <v>30</v>
      </c>
      <c r="I24" s="2">
        <v>90.3</v>
      </c>
      <c r="J24" s="2">
        <v>191.8</v>
      </c>
      <c r="K24" s="2">
        <v>46</v>
      </c>
      <c r="L24" s="1"/>
      <c r="M24" s="9" t="s">
        <v>166</v>
      </c>
      <c r="N24" s="2">
        <v>1302</v>
      </c>
      <c r="O24" s="2">
        <v>37.5</v>
      </c>
      <c r="P24" s="2">
        <v>35.6</v>
      </c>
      <c r="Q24" s="2">
        <v>10.4</v>
      </c>
      <c r="R24" s="2">
        <v>14.4</v>
      </c>
      <c r="S24" s="2">
        <v>13.7</v>
      </c>
      <c r="T24" s="2">
        <v>13</v>
      </c>
      <c r="U24" s="2">
        <v>32.200000000000003</v>
      </c>
      <c r="V24" s="2">
        <v>35.5</v>
      </c>
      <c r="W24" s="2">
        <v>26.9</v>
      </c>
      <c r="X24" s="2">
        <v>29.3</v>
      </c>
      <c r="Y24" s="1">
        <f t="shared" si="19"/>
        <v>67.7</v>
      </c>
      <c r="Z24" s="1">
        <f t="shared" si="20"/>
        <v>56.2</v>
      </c>
      <c r="AA24" s="1">
        <f t="shared" si="21"/>
        <v>1.2046263345195729</v>
      </c>
      <c r="AB24" s="2">
        <v>16</v>
      </c>
      <c r="AC24" s="2">
        <v>15</v>
      </c>
      <c r="AD24" s="2">
        <v>14</v>
      </c>
      <c r="AE24" s="2">
        <v>11</v>
      </c>
      <c r="AF24" s="2">
        <v>26.5</v>
      </c>
      <c r="AG24" s="1"/>
      <c r="AH24" s="1">
        <f t="shared" si="25"/>
        <v>0</v>
      </c>
      <c r="AI24" s="1"/>
      <c r="AJ24" s="1">
        <f t="shared" si="26"/>
        <v>0</v>
      </c>
      <c r="AK24" s="1"/>
      <c r="AL24" s="1"/>
      <c r="AM24" s="2">
        <v>33</v>
      </c>
      <c r="AN24" s="2">
        <v>2296</v>
      </c>
      <c r="AO24" s="2">
        <v>12668</v>
      </c>
      <c r="AP24" s="2">
        <v>1.89</v>
      </c>
      <c r="AQ24" s="2">
        <v>6799</v>
      </c>
      <c r="AR24" s="2">
        <v>12.3</v>
      </c>
      <c r="AS24" s="2">
        <v>15.6</v>
      </c>
      <c r="AT24" s="1"/>
      <c r="AU24" s="2">
        <v>16</v>
      </c>
      <c r="AV24" s="2">
        <v>222</v>
      </c>
      <c r="AW24" s="1"/>
      <c r="AX24" s="1"/>
      <c r="AY24" s="1"/>
      <c r="AZ24" s="1"/>
      <c r="BA24" s="1"/>
      <c r="BB24" s="1"/>
      <c r="BC24" s="1"/>
      <c r="BD24" s="2">
        <v>255</v>
      </c>
      <c r="BE24" s="1">
        <f t="shared" si="16"/>
        <v>2.823920265780731</v>
      </c>
      <c r="BF24" s="2">
        <v>333</v>
      </c>
      <c r="BG24" s="1">
        <f t="shared" si="5"/>
        <v>3.6877076411960132</v>
      </c>
      <c r="BH24" s="2">
        <v>183</v>
      </c>
      <c r="BI24" s="1">
        <f t="shared" si="6"/>
        <v>2.0265780730897012</v>
      </c>
      <c r="BJ24" s="2">
        <v>212</v>
      </c>
      <c r="BK24" s="1">
        <f t="shared" si="7"/>
        <v>2.3477297895902547</v>
      </c>
      <c r="BL24" s="2">
        <v>189</v>
      </c>
      <c r="BM24" s="1">
        <f t="shared" si="8"/>
        <v>2.0930232558139537</v>
      </c>
      <c r="BN24" s="2">
        <v>214</v>
      </c>
      <c r="BO24" s="1">
        <f t="shared" si="9"/>
        <v>2.3698781838316725</v>
      </c>
      <c r="BP24" s="2">
        <v>166</v>
      </c>
      <c r="BQ24" s="1">
        <f t="shared" si="10"/>
        <v>1.8383167220376524</v>
      </c>
      <c r="BR24" s="2">
        <v>170</v>
      </c>
      <c r="BS24" s="1">
        <f t="shared" si="11"/>
        <v>1.8826135105204873</v>
      </c>
      <c r="BT24" s="2">
        <v>210</v>
      </c>
      <c r="BU24" s="1">
        <f t="shared" si="12"/>
        <v>2.3255813953488373</v>
      </c>
      <c r="BV24" s="2">
        <v>239</v>
      </c>
      <c r="BW24" s="1">
        <f t="shared" si="27"/>
        <v>2.6467331118493909</v>
      </c>
      <c r="BX24" s="1">
        <f t="shared" si="14"/>
        <v>1.1475409836065573</v>
      </c>
      <c r="BY24" s="1">
        <f t="shared" si="18"/>
        <v>1.1273584905660377</v>
      </c>
      <c r="BZ24" s="31">
        <v>5</v>
      </c>
      <c r="CA24" s="31">
        <v>8</v>
      </c>
      <c r="CB24" s="31" t="s">
        <v>181</v>
      </c>
      <c r="CC24" s="31">
        <v>7</v>
      </c>
      <c r="CD24" s="31">
        <v>4</v>
      </c>
      <c r="CE24" s="31" t="s">
        <v>178</v>
      </c>
      <c r="CF24" s="31" t="s">
        <v>180</v>
      </c>
      <c r="CG24" s="31" t="s">
        <v>175</v>
      </c>
    </row>
    <row r="25" spans="1:106" ht="14.25" customHeight="1" thickBot="1">
      <c r="A25" s="5" t="s">
        <v>115</v>
      </c>
      <c r="B25" s="6">
        <v>99</v>
      </c>
      <c r="C25" s="10" t="s">
        <v>83</v>
      </c>
      <c r="D25" s="10" t="s">
        <v>84</v>
      </c>
      <c r="E25" s="10" t="s">
        <v>85</v>
      </c>
      <c r="F25" s="17">
        <v>36894</v>
      </c>
      <c r="G25" s="12" t="s">
        <v>81</v>
      </c>
      <c r="H25" s="13">
        <v>25</v>
      </c>
      <c r="I25" s="2">
        <v>78.099999999999994</v>
      </c>
      <c r="J25" s="2">
        <v>182.5</v>
      </c>
      <c r="K25" s="1"/>
      <c r="L25" s="9">
        <v>46210</v>
      </c>
      <c r="M25" s="9" t="s">
        <v>166</v>
      </c>
      <c r="N25" s="2">
        <v>999</v>
      </c>
      <c r="O25" s="2">
        <v>37.700000000000003</v>
      </c>
      <c r="P25" s="2">
        <v>41.2</v>
      </c>
      <c r="Q25" s="2">
        <v>7.2</v>
      </c>
      <c r="R25" s="2">
        <v>7.2</v>
      </c>
      <c r="S25" s="2">
        <v>8.1</v>
      </c>
      <c r="T25" s="2">
        <v>10.5</v>
      </c>
      <c r="U25" s="2">
        <v>14.8</v>
      </c>
      <c r="V25" s="2">
        <v>15.8</v>
      </c>
      <c r="W25" s="2">
        <v>21.9</v>
      </c>
      <c r="X25" s="2">
        <v>22.6</v>
      </c>
      <c r="Y25" s="1">
        <f t="shared" si="19"/>
        <v>30.6</v>
      </c>
      <c r="Z25" s="1">
        <f t="shared" si="20"/>
        <v>44.5</v>
      </c>
      <c r="AA25" s="1">
        <f t="shared" si="21"/>
        <v>0.68764044943820224</v>
      </c>
      <c r="AB25" s="2">
        <v>15</v>
      </c>
      <c r="AC25" s="2">
        <v>19</v>
      </c>
      <c r="AD25" s="2">
        <v>10</v>
      </c>
      <c r="AE25" s="2">
        <v>11</v>
      </c>
      <c r="AF25" s="2">
        <v>23</v>
      </c>
      <c r="AG25" s="1"/>
      <c r="AH25" s="1"/>
      <c r="AI25" s="1"/>
      <c r="AJ25" s="1"/>
      <c r="AK25" s="1"/>
      <c r="AL25" s="1"/>
      <c r="AM25" s="2">
        <v>38.6</v>
      </c>
      <c r="AN25" s="2">
        <v>1764</v>
      </c>
      <c r="AO25" s="2">
        <v>11079</v>
      </c>
      <c r="AP25" s="2">
        <v>2.11</v>
      </c>
      <c r="AQ25" s="1"/>
      <c r="AR25" s="16"/>
      <c r="AS25" s="16"/>
      <c r="AT25" s="1"/>
      <c r="AU25" s="2"/>
      <c r="AV25" s="2"/>
      <c r="AW25" s="1"/>
      <c r="AX25" s="1"/>
      <c r="AY25" s="1"/>
      <c r="AZ25" s="1"/>
      <c r="BA25" s="1"/>
      <c r="BB25" s="1"/>
      <c r="BC25" s="1"/>
      <c r="BD25" s="2">
        <v>225</v>
      </c>
      <c r="BE25" s="1">
        <f t="shared" si="16"/>
        <v>2.8809218950064022</v>
      </c>
      <c r="BF25" s="2">
        <v>280</v>
      </c>
      <c r="BG25" s="1">
        <f t="shared" si="5"/>
        <v>3.5851472471190782</v>
      </c>
      <c r="BH25" s="2">
        <v>155</v>
      </c>
      <c r="BI25" s="1">
        <f t="shared" si="6"/>
        <v>1.9846350832266326</v>
      </c>
      <c r="BJ25" s="2">
        <v>189</v>
      </c>
      <c r="BK25" s="1">
        <f t="shared" si="7"/>
        <v>2.4199743918053778</v>
      </c>
      <c r="BL25" s="2">
        <v>182</v>
      </c>
      <c r="BM25" s="1">
        <f t="shared" si="8"/>
        <v>2.3303457106274008</v>
      </c>
      <c r="BN25" s="2">
        <v>159</v>
      </c>
      <c r="BO25" s="1">
        <f t="shared" si="9"/>
        <v>2.0358514724711911</v>
      </c>
      <c r="BP25" s="2">
        <v>174</v>
      </c>
      <c r="BQ25" s="1">
        <f t="shared" si="10"/>
        <v>2.2279129321382842</v>
      </c>
      <c r="BR25" s="2">
        <v>160</v>
      </c>
      <c r="BS25" s="1">
        <f t="shared" si="11"/>
        <v>2.0486555697823303</v>
      </c>
      <c r="BT25" s="2">
        <v>215</v>
      </c>
      <c r="BU25" s="1">
        <f t="shared" si="12"/>
        <v>2.7528809218950068</v>
      </c>
      <c r="BV25" s="2">
        <v>159</v>
      </c>
      <c r="BW25" s="1">
        <f t="shared" si="27"/>
        <v>2.0358514724711911</v>
      </c>
      <c r="BX25" s="1">
        <f t="shared" si="14"/>
        <v>1.3870967741935485</v>
      </c>
      <c r="BY25" s="1">
        <f t="shared" si="18"/>
        <v>0.84126984126984128</v>
      </c>
      <c r="BZ25" s="33" t="s">
        <v>175</v>
      </c>
      <c r="CA25" s="33">
        <v>10</v>
      </c>
      <c r="CB25" s="33">
        <v>2</v>
      </c>
      <c r="CC25" s="33">
        <v>5</v>
      </c>
      <c r="CD25" s="33">
        <v>4</v>
      </c>
      <c r="CE25" s="33" t="s">
        <v>182</v>
      </c>
      <c r="CF25" s="33" t="s">
        <v>176</v>
      </c>
      <c r="CG25" s="33" t="s">
        <v>175</v>
      </c>
    </row>
    <row r="26" spans="1:106" ht="14.25" customHeight="1" thickBot="1">
      <c r="A26" s="5" t="s">
        <v>116</v>
      </c>
      <c r="B26" s="6">
        <v>25</v>
      </c>
      <c r="C26" s="10"/>
      <c r="D26" s="10" t="s">
        <v>93</v>
      </c>
      <c r="E26" s="10" t="s">
        <v>94</v>
      </c>
      <c r="F26" s="17">
        <v>39046</v>
      </c>
      <c r="G26" s="12" t="s">
        <v>81</v>
      </c>
      <c r="H26" s="13">
        <v>19</v>
      </c>
      <c r="I26" s="2">
        <v>70.5</v>
      </c>
      <c r="J26" s="2">
        <v>171</v>
      </c>
      <c r="K26" s="1"/>
      <c r="L26" s="1"/>
      <c r="M26" s="9" t="s">
        <v>166</v>
      </c>
      <c r="N26" s="2">
        <v>1165</v>
      </c>
      <c r="O26" s="2">
        <v>31.9</v>
      </c>
      <c r="P26" s="2">
        <v>33.200000000000003</v>
      </c>
      <c r="Q26" s="2">
        <v>6.3</v>
      </c>
      <c r="R26" s="2">
        <v>10.1</v>
      </c>
      <c r="S26" s="2">
        <v>9.6999999999999993</v>
      </c>
      <c r="T26" s="2">
        <v>10.8</v>
      </c>
      <c r="U26" s="2">
        <v>28.6</v>
      </c>
      <c r="V26" s="2">
        <v>27.6</v>
      </c>
      <c r="W26" s="2">
        <v>26.8</v>
      </c>
      <c r="X26" s="2">
        <v>25.7</v>
      </c>
      <c r="Y26" s="1">
        <f t="shared" si="19"/>
        <v>56.2</v>
      </c>
      <c r="Z26" s="1">
        <f t="shared" si="20"/>
        <v>52.5</v>
      </c>
      <c r="AA26" s="1">
        <f t="shared" si="21"/>
        <v>1.0704761904761906</v>
      </c>
      <c r="AB26" s="2">
        <v>21</v>
      </c>
      <c r="AC26" s="2">
        <v>17</v>
      </c>
      <c r="AD26" s="2">
        <v>8</v>
      </c>
      <c r="AE26" s="2">
        <v>6</v>
      </c>
      <c r="AF26" s="2">
        <v>24</v>
      </c>
      <c r="AG26" s="1"/>
      <c r="AH26" s="1">
        <f t="shared" ref="AH26:AH28" si="28">AG26/I26</f>
        <v>0</v>
      </c>
      <c r="AI26" s="1"/>
      <c r="AJ26" s="1">
        <f t="shared" ref="AJ26:AJ28" si="29">AI26/I26</f>
        <v>0</v>
      </c>
      <c r="AK26" s="1"/>
      <c r="AL26" s="1"/>
      <c r="AM26" s="2">
        <v>42.4</v>
      </c>
      <c r="AN26" s="2">
        <v>1823.4</v>
      </c>
      <c r="AO26" s="2">
        <v>5762</v>
      </c>
      <c r="AP26" s="2">
        <v>2.66</v>
      </c>
      <c r="AQ26" s="2">
        <v>4782</v>
      </c>
      <c r="AR26" s="16">
        <v>11.8</v>
      </c>
      <c r="AS26" s="16">
        <v>15.9</v>
      </c>
      <c r="AT26" s="1"/>
      <c r="AU26" s="2">
        <v>16.5</v>
      </c>
      <c r="AV26" s="2">
        <v>212</v>
      </c>
      <c r="AW26" s="1"/>
      <c r="AX26" s="1"/>
      <c r="AY26" s="1"/>
      <c r="AZ26" s="1"/>
      <c r="BA26" s="1"/>
      <c r="BB26" s="1"/>
      <c r="BC26" s="1"/>
      <c r="BD26" s="2">
        <v>203.4</v>
      </c>
      <c r="BE26" s="1">
        <f t="shared" si="16"/>
        <v>2.8851063829787233</v>
      </c>
      <c r="BF26" s="2">
        <v>161.69999999999999</v>
      </c>
      <c r="BG26" s="1">
        <f t="shared" si="5"/>
        <v>2.2936170212765954</v>
      </c>
      <c r="BH26" s="2">
        <v>191.7</v>
      </c>
      <c r="BI26" s="1">
        <f t="shared" si="6"/>
        <v>2.7191489361702126</v>
      </c>
      <c r="BJ26" s="2">
        <v>182.3</v>
      </c>
      <c r="BK26" s="1">
        <f t="shared" si="7"/>
        <v>2.5858156028368797</v>
      </c>
      <c r="BL26" s="2">
        <v>125.8</v>
      </c>
      <c r="BM26" s="1">
        <f t="shared" si="8"/>
        <v>1.7843971631205673</v>
      </c>
      <c r="BN26" s="2">
        <v>134.5</v>
      </c>
      <c r="BO26" s="1">
        <f t="shared" si="9"/>
        <v>1.9078014184397163</v>
      </c>
      <c r="BP26" s="2">
        <v>144.30000000000001</v>
      </c>
      <c r="BQ26" s="1">
        <f t="shared" si="10"/>
        <v>2.0468085106382978</v>
      </c>
      <c r="BR26" s="2">
        <v>146</v>
      </c>
      <c r="BS26" s="1">
        <f t="shared" si="11"/>
        <v>2.0709219858156027</v>
      </c>
      <c r="BT26" s="2">
        <v>175.3</v>
      </c>
      <c r="BU26" s="1">
        <f t="shared" si="12"/>
        <v>2.4865248226950358</v>
      </c>
      <c r="BV26" s="2">
        <v>214.8</v>
      </c>
      <c r="BW26" s="1">
        <f t="shared" si="27"/>
        <v>3.0468085106382978</v>
      </c>
      <c r="BX26" s="1">
        <f t="shared" si="14"/>
        <v>0.9144496609285343</v>
      </c>
      <c r="BY26" s="1">
        <f t="shared" si="18"/>
        <v>1.1782775644541963</v>
      </c>
      <c r="BZ26" s="31" t="s">
        <v>176</v>
      </c>
      <c r="CA26" s="31" t="s">
        <v>182</v>
      </c>
      <c r="CB26" s="31">
        <v>3</v>
      </c>
      <c r="CC26" s="31" t="s">
        <v>184</v>
      </c>
      <c r="CD26" s="31" t="s">
        <v>176</v>
      </c>
      <c r="CE26" s="31" t="s">
        <v>182</v>
      </c>
      <c r="CF26" s="31">
        <v>6</v>
      </c>
      <c r="CG26" s="31">
        <v>4</v>
      </c>
    </row>
    <row r="27" spans="1:106" ht="14.25" customHeight="1" thickBot="1">
      <c r="A27" s="13" t="s">
        <v>117</v>
      </c>
      <c r="B27" s="10">
        <v>94</v>
      </c>
      <c r="C27" s="6" t="s">
        <v>83</v>
      </c>
      <c r="D27" s="6" t="s">
        <v>100</v>
      </c>
      <c r="E27" s="6" t="s">
        <v>101</v>
      </c>
      <c r="F27" s="15">
        <v>38061</v>
      </c>
      <c r="G27" s="8" t="s">
        <v>81</v>
      </c>
      <c r="H27" s="5">
        <v>22</v>
      </c>
      <c r="I27" s="2">
        <v>93.8</v>
      </c>
      <c r="J27" s="2">
        <v>188.9</v>
      </c>
      <c r="K27" s="2">
        <v>66.5</v>
      </c>
      <c r="L27" s="1"/>
      <c r="M27" s="9" t="s">
        <v>166</v>
      </c>
      <c r="N27" s="2">
        <v>1340</v>
      </c>
      <c r="O27" s="2">
        <v>46.2</v>
      </c>
      <c r="P27" s="2">
        <v>38.700000000000003</v>
      </c>
      <c r="Q27" s="2">
        <v>9.1</v>
      </c>
      <c r="R27" s="2">
        <v>11</v>
      </c>
      <c r="S27" s="2">
        <v>14.9</v>
      </c>
      <c r="T27" s="2">
        <v>14.6</v>
      </c>
      <c r="U27" s="2">
        <v>27.9</v>
      </c>
      <c r="V27" s="2">
        <v>31.1</v>
      </c>
      <c r="W27" s="2">
        <v>33.9</v>
      </c>
      <c r="X27" s="2">
        <v>34.1</v>
      </c>
      <c r="Y27" s="1">
        <f t="shared" si="19"/>
        <v>59</v>
      </c>
      <c r="Z27" s="1">
        <f t="shared" si="20"/>
        <v>68</v>
      </c>
      <c r="AA27" s="1">
        <f t="shared" si="21"/>
        <v>0.86764705882352944</v>
      </c>
      <c r="AB27" s="2">
        <v>22</v>
      </c>
      <c r="AC27" s="2">
        <v>17</v>
      </c>
      <c r="AD27" s="2">
        <v>5</v>
      </c>
      <c r="AE27" s="2">
        <v>6</v>
      </c>
      <c r="AF27" s="2">
        <v>37</v>
      </c>
      <c r="AG27" s="1"/>
      <c r="AH27" s="1">
        <f t="shared" si="28"/>
        <v>0</v>
      </c>
      <c r="AI27" s="1"/>
      <c r="AJ27" s="1">
        <f t="shared" si="29"/>
        <v>0</v>
      </c>
      <c r="AK27" s="1"/>
      <c r="AL27" s="1"/>
      <c r="AM27" s="2">
        <v>36.5</v>
      </c>
      <c r="AN27" s="2">
        <v>2228.3000000000002</v>
      </c>
      <c r="AO27" s="2">
        <v>12667</v>
      </c>
      <c r="AP27" s="2">
        <v>1.92</v>
      </c>
      <c r="AQ27" s="1"/>
      <c r="AR27" s="2" t="s">
        <v>118</v>
      </c>
      <c r="AS27" s="2" t="s">
        <v>118</v>
      </c>
      <c r="AT27" s="1"/>
      <c r="AU27" s="2"/>
      <c r="AV27" s="1"/>
      <c r="AW27" s="1"/>
      <c r="AX27" s="1"/>
      <c r="AY27" s="1"/>
      <c r="AZ27" s="1"/>
      <c r="BA27" s="1"/>
      <c r="BB27" s="1"/>
      <c r="BC27" s="1"/>
      <c r="BD27" s="2">
        <v>313</v>
      </c>
      <c r="BE27" s="1">
        <f t="shared" si="16"/>
        <v>3.3368869936034118</v>
      </c>
      <c r="BF27" s="2">
        <v>297</v>
      </c>
      <c r="BG27" s="1">
        <f t="shared" si="5"/>
        <v>3.1663113006396588</v>
      </c>
      <c r="BH27" s="2">
        <v>198</v>
      </c>
      <c r="BI27" s="1">
        <f t="shared" si="6"/>
        <v>2.1108742004264394</v>
      </c>
      <c r="BJ27" s="2">
        <v>190</v>
      </c>
      <c r="BK27" s="1">
        <f t="shared" si="7"/>
        <v>2.0255863539445631</v>
      </c>
      <c r="BL27" s="2">
        <v>195</v>
      </c>
      <c r="BM27" s="1">
        <f t="shared" si="8"/>
        <v>2.0788912579957355</v>
      </c>
      <c r="BN27" s="2">
        <v>205</v>
      </c>
      <c r="BO27" s="1">
        <f t="shared" si="9"/>
        <v>2.1855010660980811</v>
      </c>
      <c r="BP27" s="2">
        <v>182</v>
      </c>
      <c r="BQ27" s="1">
        <f t="shared" si="10"/>
        <v>1.9402985074626866</v>
      </c>
      <c r="BR27" s="2">
        <v>177</v>
      </c>
      <c r="BS27" s="1">
        <f t="shared" si="11"/>
        <v>1.886993603411514</v>
      </c>
      <c r="BT27" s="2">
        <v>263</v>
      </c>
      <c r="BU27" s="1">
        <f t="shared" si="12"/>
        <v>2.8038379530916844</v>
      </c>
      <c r="BV27" s="2">
        <v>165</v>
      </c>
      <c r="BW27" s="1">
        <f t="shared" si="27"/>
        <v>1.7590618336886994</v>
      </c>
      <c r="BX27" s="1">
        <f t="shared" si="14"/>
        <v>1.3282828282828283</v>
      </c>
      <c r="BY27" s="1">
        <f t="shared" si="18"/>
        <v>0.86842105263157898</v>
      </c>
      <c r="BZ27" s="33">
        <v>7</v>
      </c>
      <c r="CA27" s="33" t="s">
        <v>185</v>
      </c>
      <c r="CB27" s="33">
        <v>4</v>
      </c>
      <c r="CC27" s="33" t="s">
        <v>186</v>
      </c>
      <c r="CD27" s="33" t="s">
        <v>182</v>
      </c>
      <c r="CE27" s="33">
        <v>10</v>
      </c>
      <c r="CF27" s="33">
        <v>8</v>
      </c>
      <c r="CG27" s="33">
        <v>4</v>
      </c>
    </row>
    <row r="28" spans="1:106" ht="14.25" customHeight="1" thickBot="1">
      <c r="A28" s="5" t="s">
        <v>119</v>
      </c>
      <c r="B28" s="6">
        <v>87</v>
      </c>
      <c r="C28" s="10" t="s">
        <v>83</v>
      </c>
      <c r="D28" s="10" t="s">
        <v>93</v>
      </c>
      <c r="E28" s="10" t="s">
        <v>94</v>
      </c>
      <c r="F28" s="17">
        <v>39041</v>
      </c>
      <c r="G28" s="12" t="s">
        <v>81</v>
      </c>
      <c r="H28" s="13">
        <v>19</v>
      </c>
      <c r="I28" s="2">
        <v>65.900000000000006</v>
      </c>
      <c r="J28" s="2">
        <v>177.5</v>
      </c>
      <c r="K28" s="2">
        <v>41.5</v>
      </c>
      <c r="L28" s="1"/>
      <c r="M28" s="9" t="s">
        <v>166</v>
      </c>
      <c r="N28" s="2">
        <v>938</v>
      </c>
      <c r="O28" s="2">
        <v>29.1</v>
      </c>
      <c r="P28" s="2">
        <v>33.799999999999997</v>
      </c>
      <c r="Q28" s="2">
        <v>3</v>
      </c>
      <c r="R28" s="2">
        <v>4.5999999999999996</v>
      </c>
      <c r="S28" s="2">
        <v>3.8</v>
      </c>
      <c r="T28" s="2">
        <v>5.0999999999999996</v>
      </c>
      <c r="U28" s="2">
        <v>9.1</v>
      </c>
      <c r="V28" s="2">
        <v>9.5</v>
      </c>
      <c r="W28" s="2">
        <v>17</v>
      </c>
      <c r="X28" s="2">
        <v>17.2</v>
      </c>
      <c r="Y28" s="1">
        <f t="shared" si="19"/>
        <v>18.600000000000001</v>
      </c>
      <c r="Z28" s="1">
        <f t="shared" si="20"/>
        <v>34.200000000000003</v>
      </c>
      <c r="AA28" s="1">
        <f t="shared" si="21"/>
        <v>0.54385964912280704</v>
      </c>
      <c r="AB28" s="2">
        <v>9</v>
      </c>
      <c r="AC28" s="2">
        <v>14</v>
      </c>
      <c r="AD28" s="2">
        <v>12.5</v>
      </c>
      <c r="AE28" s="2">
        <v>13</v>
      </c>
      <c r="AF28" s="2">
        <v>16</v>
      </c>
      <c r="AG28" s="1"/>
      <c r="AH28" s="1">
        <f t="shared" si="28"/>
        <v>0</v>
      </c>
      <c r="AI28" s="1"/>
      <c r="AJ28" s="1">
        <f t="shared" si="29"/>
        <v>0</v>
      </c>
      <c r="AK28" s="1"/>
      <c r="AL28" s="1"/>
      <c r="AM28" s="2">
        <v>44.4</v>
      </c>
      <c r="AN28" s="2">
        <v>1733</v>
      </c>
      <c r="AO28" s="2">
        <v>9814</v>
      </c>
      <c r="AP28" s="2">
        <v>1.98</v>
      </c>
      <c r="AQ28" s="2">
        <v>2679</v>
      </c>
      <c r="AR28" s="16">
        <v>12.6</v>
      </c>
      <c r="AS28" s="16">
        <v>15</v>
      </c>
      <c r="AT28" s="1"/>
      <c r="AU28" s="2">
        <v>16</v>
      </c>
      <c r="AV28" s="2">
        <v>211</v>
      </c>
      <c r="AW28" s="1"/>
      <c r="AX28" s="1"/>
      <c r="AY28" s="1"/>
      <c r="AZ28" s="1"/>
      <c r="BA28" s="1"/>
      <c r="BB28" s="1"/>
      <c r="BC28" s="1"/>
      <c r="BD28" s="2">
        <v>251</v>
      </c>
      <c r="BE28" s="1">
        <f t="shared" si="16"/>
        <v>3.8088012139605461</v>
      </c>
      <c r="BF28" s="2">
        <v>249</v>
      </c>
      <c r="BG28" s="1">
        <f t="shared" si="5"/>
        <v>3.7784522003034899</v>
      </c>
      <c r="BH28" s="2">
        <v>187</v>
      </c>
      <c r="BI28" s="1">
        <f t="shared" si="6"/>
        <v>2.8376327769347496</v>
      </c>
      <c r="BJ28" s="2">
        <v>196</v>
      </c>
      <c r="BK28" s="1">
        <f t="shared" si="7"/>
        <v>2.9742033383915021</v>
      </c>
      <c r="BL28" s="2">
        <v>160</v>
      </c>
      <c r="BM28" s="1">
        <f t="shared" si="8"/>
        <v>2.4279210925644916</v>
      </c>
      <c r="BN28" s="2">
        <v>170</v>
      </c>
      <c r="BO28" s="1">
        <f t="shared" si="9"/>
        <v>2.5796661608497722</v>
      </c>
      <c r="BP28" s="2">
        <v>141</v>
      </c>
      <c r="BQ28" s="1">
        <f t="shared" si="10"/>
        <v>2.1396054628224581</v>
      </c>
      <c r="BR28" s="2">
        <v>115</v>
      </c>
      <c r="BS28" s="1">
        <f t="shared" si="11"/>
        <v>1.7450682852807282</v>
      </c>
      <c r="BT28" s="2">
        <v>145</v>
      </c>
      <c r="BU28" s="1">
        <f t="shared" si="12"/>
        <v>2.2003034901365703</v>
      </c>
      <c r="BV28" s="2">
        <v>155</v>
      </c>
      <c r="BW28" s="1">
        <f t="shared" si="27"/>
        <v>2.3520485584218509</v>
      </c>
      <c r="BX28" s="1">
        <f t="shared" si="14"/>
        <v>0.77540106951871657</v>
      </c>
      <c r="BY28" s="1">
        <f t="shared" si="18"/>
        <v>0.79081632653061229</v>
      </c>
      <c r="BZ28" s="31">
        <v>4</v>
      </c>
      <c r="CA28" s="31" t="s">
        <v>182</v>
      </c>
      <c r="CB28" s="31" t="s">
        <v>181</v>
      </c>
      <c r="CC28" s="31" t="s">
        <v>180</v>
      </c>
      <c r="CD28" s="31">
        <v>4</v>
      </c>
      <c r="CE28" s="31">
        <v>7</v>
      </c>
      <c r="CF28" s="31">
        <v>5</v>
      </c>
      <c r="CG28" s="31">
        <v>5</v>
      </c>
    </row>
    <row r="29" spans="1:106" ht="14.25" customHeight="1" thickBot="1">
      <c r="A29" s="13" t="s">
        <v>120</v>
      </c>
      <c r="B29" s="10"/>
      <c r="C29" s="6" t="s">
        <v>83</v>
      </c>
      <c r="D29" s="6" t="s">
        <v>79</v>
      </c>
      <c r="E29" s="6" t="s">
        <v>80</v>
      </c>
      <c r="F29" s="15">
        <v>36986</v>
      </c>
      <c r="G29" s="8" t="s">
        <v>81</v>
      </c>
      <c r="H29" s="5">
        <v>25</v>
      </c>
      <c r="I29" s="1"/>
      <c r="J29" s="2"/>
      <c r="K29" s="1"/>
      <c r="L29" s="1"/>
      <c r="M29" s="9" t="s">
        <v>166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1"/>
      <c r="Z29" s="1"/>
      <c r="AA29" s="1"/>
      <c r="AB29" s="2"/>
      <c r="AC29" s="2"/>
      <c r="AD29" s="2"/>
      <c r="AE29" s="2"/>
      <c r="AF29" s="2"/>
      <c r="AG29" s="1"/>
      <c r="AH29" s="1"/>
      <c r="AI29" s="1"/>
      <c r="AJ29" s="1"/>
      <c r="AK29" s="1"/>
      <c r="AL29" s="1"/>
      <c r="AM29" s="2"/>
      <c r="AN29" s="2"/>
      <c r="AO29" s="2"/>
      <c r="AP29" s="2"/>
      <c r="AQ29" s="1"/>
      <c r="AR29" s="1"/>
      <c r="AS29" s="1"/>
      <c r="AT29" s="1"/>
      <c r="AU29" s="2"/>
      <c r="AV29" s="1"/>
      <c r="AW29" s="1"/>
      <c r="AX29" s="1"/>
      <c r="AY29" s="1"/>
      <c r="AZ29" s="1"/>
      <c r="BA29" s="1"/>
      <c r="BB29" s="1"/>
      <c r="BC29" s="1"/>
      <c r="BD29" s="2"/>
      <c r="BE29" s="1" t="e">
        <f t="shared" si="16"/>
        <v>#DIV/0!</v>
      </c>
      <c r="BF29" s="2"/>
      <c r="BG29" s="1" t="e">
        <f t="shared" si="5"/>
        <v>#DIV/0!</v>
      </c>
      <c r="BH29" s="2"/>
      <c r="BI29" s="1" t="e">
        <f t="shared" si="6"/>
        <v>#DIV/0!</v>
      </c>
      <c r="BJ29" s="2"/>
      <c r="BK29" s="1" t="e">
        <f t="shared" si="7"/>
        <v>#DIV/0!</v>
      </c>
      <c r="BL29" s="2"/>
      <c r="BM29" s="1" t="e">
        <f t="shared" si="8"/>
        <v>#DIV/0!</v>
      </c>
      <c r="BN29" s="2"/>
      <c r="BO29" s="1" t="e">
        <f t="shared" si="9"/>
        <v>#DIV/0!</v>
      </c>
      <c r="BP29" s="2"/>
      <c r="BQ29" s="1" t="e">
        <f t="shared" si="10"/>
        <v>#DIV/0!</v>
      </c>
      <c r="BR29" s="2"/>
      <c r="BS29" s="1" t="e">
        <f t="shared" si="11"/>
        <v>#DIV/0!</v>
      </c>
      <c r="BT29" s="2"/>
      <c r="BU29" s="1" t="e">
        <f t="shared" si="12"/>
        <v>#DIV/0!</v>
      </c>
      <c r="BV29" s="2"/>
      <c r="BW29" s="1" t="e">
        <f>BV28/I29</f>
        <v>#DIV/0!</v>
      </c>
      <c r="BX29" s="1" t="e">
        <f t="shared" si="14"/>
        <v>#DIV/0!</v>
      </c>
      <c r="BY29" s="1" t="e">
        <f t="shared" si="18"/>
        <v>#DIV/0!</v>
      </c>
      <c r="BZ29" s="33">
        <v>3</v>
      </c>
      <c r="CA29" s="33" t="s">
        <v>177</v>
      </c>
      <c r="CB29" s="33" t="s">
        <v>181</v>
      </c>
      <c r="CC29" s="33" t="s">
        <v>175</v>
      </c>
      <c r="CD29" s="33" t="s">
        <v>175</v>
      </c>
      <c r="CE29" s="33" t="s">
        <v>183</v>
      </c>
      <c r="CF29" s="33">
        <v>4</v>
      </c>
      <c r="CG29" s="33" t="s">
        <v>175</v>
      </c>
    </row>
    <row r="30" spans="1:106" ht="14.25" customHeight="1" thickBot="1">
      <c r="A30" s="13" t="s">
        <v>121</v>
      </c>
      <c r="B30" s="10">
        <v>23</v>
      </c>
      <c r="C30" s="6" t="s">
        <v>83</v>
      </c>
      <c r="D30" s="6" t="s">
        <v>93</v>
      </c>
      <c r="E30" s="6" t="s">
        <v>97</v>
      </c>
      <c r="F30" s="15">
        <v>35162</v>
      </c>
      <c r="G30" s="8" t="s">
        <v>122</v>
      </c>
      <c r="H30" s="5">
        <v>30</v>
      </c>
      <c r="I30" s="1"/>
      <c r="J30" s="2">
        <v>181.5</v>
      </c>
      <c r="K30" s="1"/>
      <c r="L30" s="1"/>
      <c r="M30" s="9" t="s">
        <v>166</v>
      </c>
      <c r="N30" s="2">
        <v>1140</v>
      </c>
      <c r="O30" s="2">
        <v>35.1</v>
      </c>
      <c r="P30" s="2">
        <v>36.1</v>
      </c>
      <c r="Q30" s="2">
        <v>8.9</v>
      </c>
      <c r="R30" s="2">
        <v>7.7</v>
      </c>
      <c r="S30" s="2">
        <v>11</v>
      </c>
      <c r="T30" s="2">
        <v>9.3000000000000007</v>
      </c>
      <c r="U30" s="2">
        <v>19.600000000000001</v>
      </c>
      <c r="V30" s="2">
        <v>19.8</v>
      </c>
      <c r="W30" s="2">
        <v>24.1</v>
      </c>
      <c r="X30" s="2">
        <v>25.2</v>
      </c>
      <c r="Y30" s="1">
        <f t="shared" ref="Y30:Y68" si="30">U30+V30</f>
        <v>39.400000000000006</v>
      </c>
      <c r="Z30" s="1">
        <f t="shared" ref="Z30:Z68" si="31">W30+X30</f>
        <v>49.3</v>
      </c>
      <c r="AA30" s="1">
        <f t="shared" ref="AA30:AA68" si="32">Y30/Z30</f>
        <v>0.79918864097363096</v>
      </c>
      <c r="AB30" s="2">
        <v>20</v>
      </c>
      <c r="AC30" s="2">
        <v>20</v>
      </c>
      <c r="AD30" s="2">
        <v>13</v>
      </c>
      <c r="AE30" s="2">
        <v>13</v>
      </c>
      <c r="AF30" s="2">
        <v>30</v>
      </c>
      <c r="AG30" s="1"/>
      <c r="AH30" s="1" t="e">
        <f t="shared" ref="AH30:AH68" si="33">AG30/I30</f>
        <v>#DIV/0!</v>
      </c>
      <c r="AI30" s="1"/>
      <c r="AJ30" s="1" t="e">
        <f t="shared" ref="AJ30:AJ67" si="34">AI30/I30</f>
        <v>#DIV/0!</v>
      </c>
      <c r="AK30" s="1"/>
      <c r="AL30" s="1"/>
      <c r="AM30" s="2">
        <v>34.4</v>
      </c>
      <c r="AN30" s="2">
        <v>1912</v>
      </c>
      <c r="AO30" s="2">
        <v>15358</v>
      </c>
      <c r="AP30" s="2">
        <v>2.92</v>
      </c>
      <c r="AQ30" s="1"/>
      <c r="AR30" s="1"/>
      <c r="AS30" s="1"/>
      <c r="AT30" s="1"/>
      <c r="AU30" s="2">
        <v>17</v>
      </c>
      <c r="AV30" s="1"/>
      <c r="AW30" s="1"/>
      <c r="AX30" s="1"/>
      <c r="AY30" s="1"/>
      <c r="AZ30" s="1"/>
      <c r="BA30" s="1"/>
      <c r="BB30" s="1"/>
      <c r="BC30" s="1"/>
      <c r="BD30" s="2">
        <v>211</v>
      </c>
      <c r="BE30" s="1" t="e">
        <f t="shared" si="16"/>
        <v>#DIV/0!</v>
      </c>
      <c r="BF30" s="2">
        <v>250</v>
      </c>
      <c r="BG30" s="1" t="e">
        <f t="shared" si="5"/>
        <v>#DIV/0!</v>
      </c>
      <c r="BH30" s="2">
        <v>136</v>
      </c>
      <c r="BI30" s="1" t="e">
        <f t="shared" si="6"/>
        <v>#DIV/0!</v>
      </c>
      <c r="BJ30" s="2">
        <v>144</v>
      </c>
      <c r="BK30" s="1" t="e">
        <f t="shared" si="7"/>
        <v>#DIV/0!</v>
      </c>
      <c r="BL30" s="2">
        <v>130</v>
      </c>
      <c r="BM30" s="1" t="e">
        <f t="shared" si="8"/>
        <v>#DIV/0!</v>
      </c>
      <c r="BN30" s="2">
        <v>147</v>
      </c>
      <c r="BO30" s="1" t="e">
        <f t="shared" si="9"/>
        <v>#DIV/0!</v>
      </c>
      <c r="BP30" s="2">
        <v>92</v>
      </c>
      <c r="BQ30" s="1" t="e">
        <f t="shared" si="10"/>
        <v>#DIV/0!</v>
      </c>
      <c r="BR30" s="2">
        <v>114</v>
      </c>
      <c r="BS30" s="1" t="e">
        <f t="shared" si="11"/>
        <v>#DIV/0!</v>
      </c>
      <c r="BT30" s="2">
        <v>115</v>
      </c>
      <c r="BU30" s="1" t="e">
        <f t="shared" si="12"/>
        <v>#DIV/0!</v>
      </c>
      <c r="BV30" s="2">
        <v>158</v>
      </c>
      <c r="BW30" s="1" t="e">
        <f t="shared" ref="BW30:BW32" si="35">BV30/I30</f>
        <v>#DIV/0!</v>
      </c>
      <c r="BX30" s="1">
        <f t="shared" si="14"/>
        <v>0.84558823529411764</v>
      </c>
      <c r="BY30" s="1">
        <f t="shared" si="18"/>
        <v>1.0972222222222223</v>
      </c>
      <c r="BZ30" s="34"/>
      <c r="CA30" s="34"/>
      <c r="CB30" s="34"/>
      <c r="CC30" s="34"/>
      <c r="CD30" s="34"/>
      <c r="CE30" s="34"/>
      <c r="CF30" s="34"/>
      <c r="CG30" s="34"/>
    </row>
    <row r="31" spans="1:106" ht="14.25" customHeight="1" thickBot="1">
      <c r="A31" s="5" t="s">
        <v>123</v>
      </c>
      <c r="B31" s="6">
        <v>31</v>
      </c>
      <c r="C31" s="10" t="s">
        <v>83</v>
      </c>
      <c r="D31" s="10" t="s">
        <v>79</v>
      </c>
      <c r="E31" s="10" t="s">
        <v>80</v>
      </c>
      <c r="F31" s="11">
        <v>38420</v>
      </c>
      <c r="G31" s="12" t="s">
        <v>81</v>
      </c>
      <c r="H31" s="13">
        <v>21</v>
      </c>
      <c r="I31" s="1"/>
      <c r="J31" s="1"/>
      <c r="K31" s="1"/>
      <c r="L31" s="1"/>
      <c r="M31" s="9" t="s">
        <v>166</v>
      </c>
      <c r="N31" s="1"/>
      <c r="O31" s="2">
        <v>36</v>
      </c>
      <c r="P31" s="2">
        <v>36</v>
      </c>
      <c r="Q31" s="2">
        <v>10.5</v>
      </c>
      <c r="R31" s="2">
        <v>10.1</v>
      </c>
      <c r="S31" s="2">
        <v>9.6</v>
      </c>
      <c r="T31" s="2">
        <v>10</v>
      </c>
      <c r="U31" s="2">
        <v>29.7</v>
      </c>
      <c r="V31" s="2">
        <v>30.6</v>
      </c>
      <c r="W31" s="2">
        <v>18.3</v>
      </c>
      <c r="X31" s="2">
        <v>17.5</v>
      </c>
      <c r="Y31" s="1">
        <f t="shared" si="30"/>
        <v>60.3</v>
      </c>
      <c r="Z31" s="1">
        <f t="shared" si="31"/>
        <v>35.799999999999997</v>
      </c>
      <c r="AA31" s="1">
        <f t="shared" si="32"/>
        <v>1.6843575418994414</v>
      </c>
      <c r="AB31" s="2">
        <v>17</v>
      </c>
      <c r="AC31" s="2">
        <v>9</v>
      </c>
      <c r="AD31" s="2">
        <v>11</v>
      </c>
      <c r="AE31" s="2">
        <v>11</v>
      </c>
      <c r="AF31" s="2">
        <v>33</v>
      </c>
      <c r="AG31" s="1"/>
      <c r="AH31" s="1" t="e">
        <f t="shared" si="33"/>
        <v>#DIV/0!</v>
      </c>
      <c r="AI31" s="1"/>
      <c r="AJ31" s="1" t="e">
        <f t="shared" si="34"/>
        <v>#DIV/0!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2">
        <v>276</v>
      </c>
      <c r="BE31" s="1" t="e">
        <f t="shared" si="16"/>
        <v>#DIV/0!</v>
      </c>
      <c r="BF31" s="2">
        <v>239</v>
      </c>
      <c r="BG31" s="1" t="e">
        <f t="shared" si="5"/>
        <v>#DIV/0!</v>
      </c>
      <c r="BH31" s="2">
        <v>197</v>
      </c>
      <c r="BI31" s="1" t="e">
        <f t="shared" si="6"/>
        <v>#DIV/0!</v>
      </c>
      <c r="BJ31" s="2">
        <v>205</v>
      </c>
      <c r="BK31" s="1" t="e">
        <f t="shared" si="7"/>
        <v>#DIV/0!</v>
      </c>
      <c r="BL31" s="2">
        <v>146</v>
      </c>
      <c r="BM31" s="1" t="e">
        <f t="shared" si="8"/>
        <v>#DIV/0!</v>
      </c>
      <c r="BN31" s="2">
        <v>140</v>
      </c>
      <c r="BO31" s="1" t="e">
        <f t="shared" si="9"/>
        <v>#DIV/0!</v>
      </c>
      <c r="BP31" s="2">
        <v>128</v>
      </c>
      <c r="BQ31" s="1" t="e">
        <f t="shared" si="10"/>
        <v>#DIV/0!</v>
      </c>
      <c r="BR31" s="2">
        <v>126</v>
      </c>
      <c r="BS31" s="1" t="e">
        <f t="shared" si="11"/>
        <v>#DIV/0!</v>
      </c>
      <c r="BT31" s="2">
        <v>153</v>
      </c>
      <c r="BU31" s="1" t="e">
        <f t="shared" si="12"/>
        <v>#DIV/0!</v>
      </c>
      <c r="BV31" s="2">
        <v>178</v>
      </c>
      <c r="BW31" s="1" t="e">
        <f t="shared" si="35"/>
        <v>#DIV/0!</v>
      </c>
      <c r="BX31" s="1">
        <f t="shared" si="14"/>
        <v>0.7766497461928934</v>
      </c>
      <c r="BY31" s="1">
        <f t="shared" si="18"/>
        <v>0.86829268292682926</v>
      </c>
      <c r="BZ31" s="32"/>
      <c r="CA31" s="32"/>
      <c r="CB31" s="32"/>
      <c r="CC31" s="32"/>
      <c r="CD31" s="32"/>
      <c r="CE31" s="32"/>
      <c r="CF31" s="32"/>
      <c r="CG31" s="32"/>
    </row>
    <row r="32" spans="1:106" ht="14.25" customHeight="1" thickBot="1">
      <c r="A32" s="13" t="s">
        <v>124</v>
      </c>
      <c r="B32" s="10">
        <v>14</v>
      </c>
      <c r="C32" s="6" t="s">
        <v>83</v>
      </c>
      <c r="D32" s="6" t="s">
        <v>84</v>
      </c>
      <c r="E32" s="6" t="s">
        <v>87</v>
      </c>
      <c r="F32" s="15">
        <v>37076</v>
      </c>
      <c r="G32" s="8" t="s">
        <v>122</v>
      </c>
      <c r="H32" s="5">
        <v>24</v>
      </c>
      <c r="I32" s="1"/>
      <c r="J32" s="2">
        <v>175</v>
      </c>
      <c r="K32" s="1"/>
      <c r="L32" s="1"/>
      <c r="M32" s="9" t="s">
        <v>166</v>
      </c>
      <c r="N32" s="1"/>
      <c r="O32" s="2">
        <v>43.3</v>
      </c>
      <c r="P32" s="2">
        <v>40.799999999999997</v>
      </c>
      <c r="Q32" s="2">
        <v>8.1</v>
      </c>
      <c r="R32" s="2">
        <v>7.3</v>
      </c>
      <c r="S32" s="2">
        <v>8.6999999999999993</v>
      </c>
      <c r="T32" s="2">
        <v>10.1</v>
      </c>
      <c r="U32" s="2">
        <v>26.5</v>
      </c>
      <c r="V32" s="2">
        <v>22.6</v>
      </c>
      <c r="W32" s="2">
        <v>23.2</v>
      </c>
      <c r="X32" s="2">
        <v>23.7</v>
      </c>
      <c r="Y32" s="1">
        <f t="shared" si="30"/>
        <v>49.1</v>
      </c>
      <c r="Z32" s="1">
        <f t="shared" si="31"/>
        <v>46.9</v>
      </c>
      <c r="AA32" s="1">
        <f t="shared" si="32"/>
        <v>1.0469083155650321</v>
      </c>
      <c r="AB32" s="2">
        <v>20</v>
      </c>
      <c r="AC32" s="2">
        <v>16</v>
      </c>
      <c r="AD32" s="2">
        <v>11</v>
      </c>
      <c r="AE32" s="2">
        <v>11</v>
      </c>
      <c r="AF32" s="2">
        <v>35</v>
      </c>
      <c r="AG32" s="1"/>
      <c r="AH32" s="1" t="e">
        <f t="shared" si="33"/>
        <v>#DIV/0!</v>
      </c>
      <c r="AI32" s="1"/>
      <c r="AJ32" s="1" t="e">
        <f t="shared" si="34"/>
        <v>#DIV/0!</v>
      </c>
      <c r="AK32" s="1"/>
      <c r="AL32" s="1"/>
      <c r="AM32" s="2">
        <v>40</v>
      </c>
      <c r="AN32" s="2">
        <v>2097</v>
      </c>
      <c r="AO32" s="2">
        <v>16107</v>
      </c>
      <c r="AP32" s="2">
        <v>2.88</v>
      </c>
      <c r="AQ32" s="1"/>
      <c r="AR32" s="1"/>
      <c r="AS32" s="1"/>
      <c r="AT32" s="1"/>
      <c r="AU32" s="2">
        <v>16</v>
      </c>
      <c r="AV32" s="1"/>
      <c r="AW32" s="1"/>
      <c r="AX32" s="1"/>
      <c r="AY32" s="1"/>
      <c r="AZ32" s="1"/>
      <c r="BA32" s="1"/>
      <c r="BB32" s="1"/>
      <c r="BC32" s="1"/>
      <c r="BD32" s="2">
        <v>215</v>
      </c>
      <c r="BE32" s="1" t="e">
        <f t="shared" si="16"/>
        <v>#DIV/0!</v>
      </c>
      <c r="BF32" s="2">
        <v>245</v>
      </c>
      <c r="BG32" s="1" t="e">
        <f t="shared" si="5"/>
        <v>#DIV/0!</v>
      </c>
      <c r="BH32" s="2">
        <v>158</v>
      </c>
      <c r="BI32" s="1" t="e">
        <f t="shared" si="6"/>
        <v>#DIV/0!</v>
      </c>
      <c r="BJ32" s="2">
        <v>181</v>
      </c>
      <c r="BK32" s="1" t="e">
        <f t="shared" si="7"/>
        <v>#DIV/0!</v>
      </c>
      <c r="BL32" s="2">
        <v>156</v>
      </c>
      <c r="BM32" s="1" t="e">
        <f t="shared" si="8"/>
        <v>#DIV/0!</v>
      </c>
      <c r="BN32" s="2">
        <v>172</v>
      </c>
      <c r="BO32" s="1" t="e">
        <f t="shared" si="9"/>
        <v>#DIV/0!</v>
      </c>
      <c r="BP32" s="2">
        <v>163</v>
      </c>
      <c r="BQ32" s="1" t="e">
        <f t="shared" si="10"/>
        <v>#DIV/0!</v>
      </c>
      <c r="BR32" s="2">
        <v>139</v>
      </c>
      <c r="BS32" s="1" t="e">
        <f t="shared" si="11"/>
        <v>#DIV/0!</v>
      </c>
      <c r="BT32" s="2">
        <v>201</v>
      </c>
      <c r="BU32" s="1" t="e">
        <f t="shared" si="12"/>
        <v>#DIV/0!</v>
      </c>
      <c r="BV32" s="2">
        <v>208</v>
      </c>
      <c r="BW32" s="1" t="e">
        <f t="shared" si="35"/>
        <v>#DIV/0!</v>
      </c>
      <c r="BX32" s="1">
        <f t="shared" si="14"/>
        <v>1.2721518987341771</v>
      </c>
      <c r="BY32" s="1">
        <f t="shared" si="18"/>
        <v>1.149171270718232</v>
      </c>
      <c r="BZ32" s="34"/>
      <c r="CA32" s="34"/>
      <c r="CB32" s="34"/>
      <c r="CC32" s="34"/>
      <c r="CD32" s="34"/>
      <c r="CE32" s="34"/>
      <c r="CF32" s="34"/>
      <c r="CG32" s="34"/>
    </row>
    <row r="33" spans="1:85" ht="14.25" customHeight="1" thickBot="1">
      <c r="A33" s="5" t="s">
        <v>125</v>
      </c>
      <c r="B33" s="6">
        <v>7</v>
      </c>
      <c r="C33" s="10" t="s">
        <v>83</v>
      </c>
      <c r="D33" s="10" t="s">
        <v>84</v>
      </c>
      <c r="E33" s="10" t="s">
        <v>87</v>
      </c>
      <c r="F33" s="11">
        <v>35169</v>
      </c>
      <c r="G33" s="12" t="s">
        <v>122</v>
      </c>
      <c r="H33" s="13">
        <v>30</v>
      </c>
      <c r="I33" s="1"/>
      <c r="J33" s="2">
        <v>170.6</v>
      </c>
      <c r="K33" s="1"/>
      <c r="L33" s="1"/>
      <c r="M33" s="9" t="s">
        <v>166</v>
      </c>
      <c r="N33" s="2">
        <v>1031</v>
      </c>
      <c r="O33" s="2">
        <v>17.3</v>
      </c>
      <c r="P33" s="2">
        <v>21.4</v>
      </c>
      <c r="Q33" s="2">
        <v>10.9</v>
      </c>
      <c r="R33" s="2">
        <v>8.6999999999999993</v>
      </c>
      <c r="S33" s="2">
        <v>9</v>
      </c>
      <c r="T33" s="2">
        <v>10.9</v>
      </c>
      <c r="U33" s="2">
        <v>17.899999999999999</v>
      </c>
      <c r="V33" s="2">
        <v>20.399999999999999</v>
      </c>
      <c r="W33" s="2">
        <v>25.1</v>
      </c>
      <c r="X33" s="2">
        <v>23.6</v>
      </c>
      <c r="Y33" s="1">
        <f t="shared" si="30"/>
        <v>38.299999999999997</v>
      </c>
      <c r="Z33" s="1">
        <f t="shared" si="31"/>
        <v>48.7</v>
      </c>
      <c r="AA33" s="1">
        <f t="shared" si="32"/>
        <v>0.78644763860369604</v>
      </c>
      <c r="AB33" s="2">
        <v>17</v>
      </c>
      <c r="AC33" s="2">
        <v>20</v>
      </c>
      <c r="AD33" s="2">
        <v>9</v>
      </c>
      <c r="AE33" s="2">
        <v>11</v>
      </c>
      <c r="AF33" s="2">
        <v>33.5</v>
      </c>
      <c r="AG33" s="1"/>
      <c r="AH33" s="1" t="e">
        <f t="shared" si="33"/>
        <v>#DIV/0!</v>
      </c>
      <c r="AI33" s="1"/>
      <c r="AJ33" s="1" t="e">
        <f t="shared" si="34"/>
        <v>#DIV/0!</v>
      </c>
      <c r="AK33" s="1"/>
      <c r="AL33" s="1"/>
      <c r="AM33" s="2">
        <v>32.4</v>
      </c>
      <c r="AN33" s="2">
        <v>1807</v>
      </c>
      <c r="AO33" s="2">
        <v>9103</v>
      </c>
      <c r="AP33" s="2">
        <v>2.15</v>
      </c>
      <c r="AQ33" s="1"/>
      <c r="AR33" s="1"/>
      <c r="AS33" s="1"/>
      <c r="AT33" s="1"/>
      <c r="AU33" s="2">
        <v>18</v>
      </c>
      <c r="AV33" s="1"/>
      <c r="AW33" s="1"/>
      <c r="AX33" s="1"/>
      <c r="AY33" s="1"/>
      <c r="AZ33" s="1"/>
      <c r="BA33" s="1"/>
      <c r="BB33" s="1"/>
      <c r="BC33" s="1"/>
      <c r="BD33" s="2">
        <v>230</v>
      </c>
      <c r="BE33" s="1" t="e">
        <f t="shared" si="16"/>
        <v>#DIV/0!</v>
      </c>
      <c r="BF33" s="2">
        <v>145</v>
      </c>
      <c r="BG33" s="1" t="e">
        <f t="shared" si="5"/>
        <v>#DIV/0!</v>
      </c>
      <c r="BH33" s="2">
        <v>149</v>
      </c>
      <c r="BI33" s="1" t="e">
        <f t="shared" si="6"/>
        <v>#DIV/0!</v>
      </c>
      <c r="BJ33" s="2">
        <v>131</v>
      </c>
      <c r="BK33" s="1" t="e">
        <f t="shared" si="7"/>
        <v>#DIV/0!</v>
      </c>
      <c r="BL33" s="2">
        <v>108</v>
      </c>
      <c r="BM33" s="1" t="e">
        <f t="shared" si="8"/>
        <v>#DIV/0!</v>
      </c>
      <c r="BN33" s="2">
        <v>125</v>
      </c>
      <c r="BO33" s="1" t="e">
        <f t="shared" si="9"/>
        <v>#DIV/0!</v>
      </c>
      <c r="BP33" s="2">
        <v>84</v>
      </c>
      <c r="BQ33" s="1" t="e">
        <f t="shared" si="10"/>
        <v>#DIV/0!</v>
      </c>
      <c r="BR33" s="2">
        <v>125</v>
      </c>
      <c r="BS33" s="1" t="e">
        <f t="shared" si="11"/>
        <v>#DIV/0!</v>
      </c>
      <c r="BT33" s="2">
        <v>121</v>
      </c>
      <c r="BU33" s="1" t="e">
        <f t="shared" si="12"/>
        <v>#DIV/0!</v>
      </c>
      <c r="BV33" s="2">
        <v>123</v>
      </c>
      <c r="BW33" s="1" t="e">
        <f>BV32/I33</f>
        <v>#DIV/0!</v>
      </c>
      <c r="BX33" s="1">
        <f t="shared" si="14"/>
        <v>0.81208053691275173</v>
      </c>
      <c r="BY33" s="1">
        <f t="shared" si="18"/>
        <v>0.93893129770992367</v>
      </c>
      <c r="BZ33" s="32"/>
      <c r="CA33" s="32"/>
      <c r="CB33" s="32"/>
      <c r="CC33" s="32"/>
      <c r="CD33" s="32"/>
      <c r="CE33" s="32"/>
      <c r="CF33" s="32"/>
      <c r="CG33" s="32"/>
    </row>
    <row r="34" spans="1:85" ht="14.25" customHeight="1" thickBot="1">
      <c r="A34" s="13" t="s">
        <v>126</v>
      </c>
      <c r="B34" s="10">
        <v>11</v>
      </c>
      <c r="C34" s="6" t="s">
        <v>83</v>
      </c>
      <c r="D34" s="6" t="s">
        <v>84</v>
      </c>
      <c r="E34" s="6" t="s">
        <v>85</v>
      </c>
      <c r="F34" s="15">
        <v>36725</v>
      </c>
      <c r="G34" s="8" t="s">
        <v>122</v>
      </c>
      <c r="H34" s="5">
        <v>25</v>
      </c>
      <c r="I34" s="1">
        <v>80</v>
      </c>
      <c r="J34" s="2">
        <v>191.2</v>
      </c>
      <c r="K34" s="1"/>
      <c r="L34" s="1"/>
      <c r="M34" s="9" t="s">
        <v>166</v>
      </c>
      <c r="N34" s="2">
        <v>1452</v>
      </c>
      <c r="O34" s="2">
        <v>35.799999999999997</v>
      </c>
      <c r="P34" s="2">
        <v>37.1</v>
      </c>
      <c r="Q34" s="2">
        <v>9.1</v>
      </c>
      <c r="R34" s="2">
        <v>11.6</v>
      </c>
      <c r="S34" s="2">
        <v>8.5</v>
      </c>
      <c r="T34" s="2">
        <v>12</v>
      </c>
      <c r="U34" s="2">
        <v>22.8</v>
      </c>
      <c r="V34" s="2">
        <v>23</v>
      </c>
      <c r="W34" s="2">
        <v>26.8</v>
      </c>
      <c r="X34" s="2">
        <v>27.2</v>
      </c>
      <c r="Y34" s="1">
        <f t="shared" si="30"/>
        <v>45.8</v>
      </c>
      <c r="Z34" s="1">
        <f t="shared" si="31"/>
        <v>54</v>
      </c>
      <c r="AA34" s="1">
        <f t="shared" si="32"/>
        <v>0.8481481481481481</v>
      </c>
      <c r="AB34" s="2">
        <v>15</v>
      </c>
      <c r="AC34" s="2">
        <v>14</v>
      </c>
      <c r="AD34" s="2">
        <v>10</v>
      </c>
      <c r="AE34" s="2">
        <v>8</v>
      </c>
      <c r="AF34" s="2">
        <v>13.6</v>
      </c>
      <c r="AG34" s="1"/>
      <c r="AH34" s="1">
        <f t="shared" si="33"/>
        <v>0</v>
      </c>
      <c r="AI34" s="1"/>
      <c r="AJ34" s="1">
        <f t="shared" si="34"/>
        <v>0</v>
      </c>
      <c r="AK34" s="1"/>
      <c r="AL34" s="1"/>
      <c r="AM34" s="2">
        <v>49.3</v>
      </c>
      <c r="AN34" s="2">
        <v>2017</v>
      </c>
      <c r="AO34" s="2">
        <v>16054</v>
      </c>
      <c r="AP34" s="2">
        <v>2.61</v>
      </c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2">
        <v>236</v>
      </c>
      <c r="BE34" s="1">
        <f t="shared" si="16"/>
        <v>2.95</v>
      </c>
      <c r="BF34" s="2">
        <v>216</v>
      </c>
      <c r="BG34" s="1">
        <f t="shared" si="5"/>
        <v>2.7</v>
      </c>
      <c r="BH34" s="2">
        <v>186</v>
      </c>
      <c r="BI34" s="1">
        <f t="shared" si="6"/>
        <v>2.3250000000000002</v>
      </c>
      <c r="BJ34" s="2">
        <v>199</v>
      </c>
      <c r="BK34" s="1">
        <f t="shared" si="7"/>
        <v>2.4874999999999998</v>
      </c>
      <c r="BL34" s="2">
        <v>158</v>
      </c>
      <c r="BM34" s="1">
        <f t="shared" si="8"/>
        <v>1.9750000000000001</v>
      </c>
      <c r="BN34" s="2">
        <v>186</v>
      </c>
      <c r="BO34" s="1">
        <f t="shared" si="9"/>
        <v>2.3250000000000002</v>
      </c>
      <c r="BP34" s="2">
        <v>170</v>
      </c>
      <c r="BQ34" s="1">
        <f t="shared" si="10"/>
        <v>2.125</v>
      </c>
      <c r="BR34" s="2">
        <v>178</v>
      </c>
      <c r="BS34" s="1">
        <f t="shared" si="11"/>
        <v>2.2250000000000001</v>
      </c>
      <c r="BT34" s="2">
        <v>188</v>
      </c>
      <c r="BU34" s="1">
        <f t="shared" si="12"/>
        <v>2.35</v>
      </c>
      <c r="BV34" s="2">
        <v>232</v>
      </c>
      <c r="BW34" s="1">
        <f t="shared" ref="BW34:BW42" si="36">BV34/I34</f>
        <v>2.9</v>
      </c>
      <c r="BX34" s="1">
        <f t="shared" si="14"/>
        <v>1.010752688172043</v>
      </c>
      <c r="BY34" s="1">
        <f t="shared" si="18"/>
        <v>1.1658291457286432</v>
      </c>
      <c r="BZ34" s="34"/>
      <c r="CA34" s="34"/>
      <c r="CB34" s="34"/>
      <c r="CC34" s="34"/>
      <c r="CD34" s="34"/>
      <c r="CE34" s="34"/>
      <c r="CF34" s="34"/>
      <c r="CG34" s="34"/>
    </row>
    <row r="35" spans="1:85" ht="14.25" customHeight="1" thickBot="1">
      <c r="A35" s="5" t="s">
        <v>127</v>
      </c>
      <c r="B35" s="6">
        <v>74</v>
      </c>
      <c r="C35" s="10" t="s">
        <v>83</v>
      </c>
      <c r="D35" s="10" t="s">
        <v>84</v>
      </c>
      <c r="E35" s="10" t="s">
        <v>85</v>
      </c>
      <c r="F35" s="17">
        <v>38702</v>
      </c>
      <c r="G35" s="12" t="s">
        <v>122</v>
      </c>
      <c r="H35" s="18">
        <v>20</v>
      </c>
      <c r="I35" s="1"/>
      <c r="J35" s="2">
        <v>186.2</v>
      </c>
      <c r="K35" s="1"/>
      <c r="L35" s="1"/>
      <c r="M35" s="9" t="s">
        <v>166</v>
      </c>
      <c r="N35" s="2">
        <v>1391</v>
      </c>
      <c r="O35" s="2">
        <v>31.9</v>
      </c>
      <c r="P35" s="2">
        <v>34.1</v>
      </c>
      <c r="Q35" s="2">
        <v>8.9</v>
      </c>
      <c r="R35" s="2">
        <v>14.6</v>
      </c>
      <c r="S35" s="2">
        <v>11.2</v>
      </c>
      <c r="T35" s="2">
        <v>13.1</v>
      </c>
      <c r="U35" s="2">
        <v>24.9</v>
      </c>
      <c r="V35" s="2">
        <v>22</v>
      </c>
      <c r="W35" s="2">
        <v>19.8</v>
      </c>
      <c r="X35" s="2">
        <v>19.399999999999999</v>
      </c>
      <c r="Y35" s="1">
        <f t="shared" si="30"/>
        <v>46.9</v>
      </c>
      <c r="Z35" s="1">
        <f t="shared" si="31"/>
        <v>39.200000000000003</v>
      </c>
      <c r="AA35" s="1">
        <f t="shared" si="32"/>
        <v>1.1964285714285714</v>
      </c>
      <c r="AB35" s="2">
        <v>18</v>
      </c>
      <c r="AC35" s="2">
        <v>22</v>
      </c>
      <c r="AD35" s="2">
        <v>17</v>
      </c>
      <c r="AE35" s="2">
        <v>13</v>
      </c>
      <c r="AF35" s="2">
        <v>29.5</v>
      </c>
      <c r="AG35" s="1"/>
      <c r="AH35" s="1" t="e">
        <f t="shared" si="33"/>
        <v>#DIV/0!</v>
      </c>
      <c r="AI35" s="1"/>
      <c r="AJ35" s="1" t="e">
        <f t="shared" si="34"/>
        <v>#DIV/0!</v>
      </c>
      <c r="AK35" s="1"/>
      <c r="AL35" s="1"/>
      <c r="AM35" s="2">
        <v>40.200000000000003</v>
      </c>
      <c r="AN35" s="2">
        <v>1890</v>
      </c>
      <c r="AO35" s="2">
        <v>7452</v>
      </c>
      <c r="AP35" s="2">
        <v>1.96</v>
      </c>
      <c r="AQ35" s="1"/>
      <c r="AR35" s="1"/>
      <c r="AS35" s="1"/>
      <c r="AT35" s="1"/>
      <c r="AU35" s="2">
        <v>16</v>
      </c>
      <c r="AV35" s="1"/>
      <c r="AW35" s="1"/>
      <c r="AX35" s="1"/>
      <c r="AY35" s="1"/>
      <c r="AZ35" s="1"/>
      <c r="BA35" s="1"/>
      <c r="BB35" s="1"/>
      <c r="BC35" s="1"/>
      <c r="BD35" s="2">
        <v>271</v>
      </c>
      <c r="BE35" s="1" t="e">
        <f t="shared" si="16"/>
        <v>#DIV/0!</v>
      </c>
      <c r="BF35" s="2">
        <v>258</v>
      </c>
      <c r="BG35" s="1" t="e">
        <f t="shared" si="5"/>
        <v>#DIV/0!</v>
      </c>
      <c r="BH35" s="2">
        <v>180</v>
      </c>
      <c r="BI35" s="1" t="e">
        <f t="shared" si="6"/>
        <v>#DIV/0!</v>
      </c>
      <c r="BJ35" s="2">
        <v>180</v>
      </c>
      <c r="BK35" s="1" t="e">
        <f t="shared" si="7"/>
        <v>#DIV/0!</v>
      </c>
      <c r="BL35" s="2">
        <v>133</v>
      </c>
      <c r="BM35" s="1" t="e">
        <f t="shared" si="8"/>
        <v>#DIV/0!</v>
      </c>
      <c r="BN35" s="2">
        <v>124</v>
      </c>
      <c r="BO35" s="1" t="e">
        <f t="shared" si="9"/>
        <v>#DIV/0!</v>
      </c>
      <c r="BP35" s="2">
        <v>108</v>
      </c>
      <c r="BQ35" s="1" t="e">
        <f t="shared" si="10"/>
        <v>#DIV/0!</v>
      </c>
      <c r="BR35" s="2">
        <v>124</v>
      </c>
      <c r="BS35" s="1" t="e">
        <f t="shared" si="11"/>
        <v>#DIV/0!</v>
      </c>
      <c r="BT35" s="2">
        <v>200</v>
      </c>
      <c r="BU35" s="1" t="e">
        <f t="shared" si="12"/>
        <v>#DIV/0!</v>
      </c>
      <c r="BV35" s="2">
        <v>181</v>
      </c>
      <c r="BW35" s="1" t="e">
        <f t="shared" si="36"/>
        <v>#DIV/0!</v>
      </c>
      <c r="BX35" s="1">
        <f t="shared" si="14"/>
        <v>1.1111111111111112</v>
      </c>
      <c r="BY35" s="1">
        <f t="shared" si="18"/>
        <v>1.0055555555555555</v>
      </c>
      <c r="BZ35" s="32"/>
      <c r="CA35" s="32"/>
      <c r="CB35" s="32"/>
      <c r="CC35" s="32"/>
      <c r="CD35" s="32"/>
      <c r="CE35" s="32"/>
      <c r="CF35" s="32"/>
      <c r="CG35" s="32"/>
    </row>
    <row r="36" spans="1:85" ht="14.25" customHeight="1" thickBot="1">
      <c r="A36" s="19" t="s">
        <v>128</v>
      </c>
      <c r="B36" s="2">
        <v>80</v>
      </c>
      <c r="C36" s="2" t="s">
        <v>83</v>
      </c>
      <c r="D36" s="10" t="s">
        <v>100</v>
      </c>
      <c r="E36" s="2" t="s">
        <v>101</v>
      </c>
      <c r="F36" s="9">
        <v>39161</v>
      </c>
      <c r="G36" s="8" t="s">
        <v>122</v>
      </c>
      <c r="H36" s="14">
        <v>19</v>
      </c>
      <c r="I36" s="2">
        <v>74.5</v>
      </c>
      <c r="J36" s="2">
        <v>192.8</v>
      </c>
      <c r="K36" s="1"/>
      <c r="L36" s="1"/>
      <c r="M36" s="9" t="s">
        <v>166</v>
      </c>
      <c r="N36" s="1"/>
      <c r="O36" s="2">
        <v>30.5</v>
      </c>
      <c r="P36" s="2">
        <v>24.5</v>
      </c>
      <c r="Q36" s="2">
        <v>12.4</v>
      </c>
      <c r="R36" s="2">
        <v>10.9</v>
      </c>
      <c r="S36" s="2">
        <v>10.199999999999999</v>
      </c>
      <c r="T36" s="2">
        <v>8.9</v>
      </c>
      <c r="U36" s="2">
        <v>30.1</v>
      </c>
      <c r="V36" s="2">
        <v>25.9</v>
      </c>
      <c r="W36" s="2">
        <v>15.3</v>
      </c>
      <c r="X36" s="2">
        <v>16.5</v>
      </c>
      <c r="Y36" s="1">
        <f t="shared" si="30"/>
        <v>56</v>
      </c>
      <c r="Z36" s="1">
        <f t="shared" si="31"/>
        <v>31.8</v>
      </c>
      <c r="AA36" s="1">
        <f t="shared" si="32"/>
        <v>1.7610062893081762</v>
      </c>
      <c r="AB36" s="2">
        <v>14</v>
      </c>
      <c r="AC36" s="2">
        <v>17</v>
      </c>
      <c r="AD36" s="2">
        <v>7</v>
      </c>
      <c r="AE36" s="2">
        <v>7</v>
      </c>
      <c r="AF36" s="2">
        <v>24</v>
      </c>
      <c r="AG36" s="1"/>
      <c r="AH36" s="1">
        <f t="shared" si="33"/>
        <v>0</v>
      </c>
      <c r="AI36" s="1"/>
      <c r="AJ36" s="1">
        <f t="shared" si="34"/>
        <v>0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2">
        <v>249.9</v>
      </c>
      <c r="BE36" s="1">
        <f t="shared" si="16"/>
        <v>3.3543624161073828</v>
      </c>
      <c r="BF36" s="2">
        <v>246.4</v>
      </c>
      <c r="BG36" s="1">
        <f t="shared" si="5"/>
        <v>3.3073825503355705</v>
      </c>
      <c r="BH36" s="2">
        <v>175</v>
      </c>
      <c r="BI36" s="1">
        <f t="shared" si="6"/>
        <v>2.348993288590604</v>
      </c>
      <c r="BJ36" s="2">
        <v>186</v>
      </c>
      <c r="BK36" s="1">
        <f t="shared" si="7"/>
        <v>2.4966442953020134</v>
      </c>
      <c r="BL36" s="2">
        <v>137.1</v>
      </c>
      <c r="BM36" s="1">
        <f t="shared" si="8"/>
        <v>1.8402684563758389</v>
      </c>
      <c r="BN36" s="2">
        <v>125</v>
      </c>
      <c r="BO36" s="1">
        <f t="shared" si="9"/>
        <v>1.6778523489932886</v>
      </c>
      <c r="BP36" s="2">
        <v>143</v>
      </c>
      <c r="BQ36" s="1">
        <f t="shared" si="10"/>
        <v>1.919463087248322</v>
      </c>
      <c r="BR36" s="2">
        <v>87</v>
      </c>
      <c r="BS36" s="1">
        <f t="shared" si="11"/>
        <v>1.1677852348993289</v>
      </c>
      <c r="BT36" s="2">
        <v>168</v>
      </c>
      <c r="BU36" s="1">
        <f t="shared" si="12"/>
        <v>2.2550335570469797</v>
      </c>
      <c r="BV36" s="2">
        <v>164</v>
      </c>
      <c r="BW36" s="1">
        <f t="shared" si="36"/>
        <v>2.2013422818791946</v>
      </c>
      <c r="BX36" s="1">
        <f t="shared" si="14"/>
        <v>0.96</v>
      </c>
      <c r="BY36" s="1">
        <f t="shared" si="18"/>
        <v>0.88172043010752688</v>
      </c>
      <c r="BZ36" s="34"/>
      <c r="CA36" s="34"/>
      <c r="CB36" s="34"/>
      <c r="CC36" s="34"/>
      <c r="CD36" s="34"/>
      <c r="CE36" s="34"/>
      <c r="CF36" s="34"/>
      <c r="CG36" s="34"/>
    </row>
    <row r="37" spans="1:85" ht="14.25" customHeight="1" thickBot="1">
      <c r="A37" s="19" t="s">
        <v>129</v>
      </c>
      <c r="B37" s="2">
        <v>61</v>
      </c>
      <c r="C37" s="2" t="s">
        <v>83</v>
      </c>
      <c r="D37" s="6" t="s">
        <v>93</v>
      </c>
      <c r="E37" s="2" t="s">
        <v>106</v>
      </c>
      <c r="F37" s="9">
        <v>38689</v>
      </c>
      <c r="G37" s="12" t="s">
        <v>122</v>
      </c>
      <c r="H37" s="20">
        <v>20</v>
      </c>
      <c r="I37" s="2">
        <v>78.7</v>
      </c>
      <c r="J37" s="1"/>
      <c r="K37" s="1"/>
      <c r="L37" s="1"/>
      <c r="M37" s="9" t="s">
        <v>166</v>
      </c>
      <c r="N37" s="2">
        <v>1280</v>
      </c>
      <c r="O37" s="2">
        <v>32.9</v>
      </c>
      <c r="P37" s="2">
        <v>32.700000000000003</v>
      </c>
      <c r="Q37" s="2">
        <v>14</v>
      </c>
      <c r="R37" s="2">
        <v>15.8</v>
      </c>
      <c r="S37" s="2">
        <v>11.8</v>
      </c>
      <c r="T37" s="2">
        <v>14</v>
      </c>
      <c r="U37" s="2">
        <v>26.3</v>
      </c>
      <c r="V37" s="2">
        <v>27.5</v>
      </c>
      <c r="W37" s="2">
        <v>23.1</v>
      </c>
      <c r="X37" s="2">
        <v>24.6</v>
      </c>
      <c r="Y37" s="1">
        <f t="shared" si="30"/>
        <v>53.8</v>
      </c>
      <c r="Z37" s="1">
        <f t="shared" si="31"/>
        <v>47.7</v>
      </c>
      <c r="AA37" s="1">
        <f t="shared" si="32"/>
        <v>1.1278825995807127</v>
      </c>
      <c r="AB37" s="2">
        <v>13</v>
      </c>
      <c r="AC37" s="2">
        <v>17</v>
      </c>
      <c r="AD37" s="2">
        <v>17</v>
      </c>
      <c r="AE37" s="2">
        <v>16</v>
      </c>
      <c r="AF37" s="2">
        <v>18</v>
      </c>
      <c r="AG37" s="2">
        <v>193</v>
      </c>
      <c r="AH37" s="1">
        <f t="shared" si="33"/>
        <v>2.4523506988564168</v>
      </c>
      <c r="AI37" s="1"/>
      <c r="AJ37" s="1">
        <f t="shared" si="34"/>
        <v>0</v>
      </c>
      <c r="AK37" s="1"/>
      <c r="AL37" s="1"/>
      <c r="AM37" s="2">
        <v>34.299999999999997</v>
      </c>
      <c r="AN37" s="2">
        <v>2026</v>
      </c>
      <c r="AO37" s="2">
        <v>20384</v>
      </c>
      <c r="AP37" s="2">
        <v>2.25</v>
      </c>
      <c r="AQ37" s="1"/>
      <c r="AR37" s="1"/>
      <c r="AS37" s="1"/>
      <c r="AT37" s="1"/>
      <c r="AU37" s="2">
        <v>17.5</v>
      </c>
      <c r="AV37" s="1"/>
      <c r="AW37" s="1"/>
      <c r="AX37" s="1"/>
      <c r="AY37" s="1"/>
      <c r="AZ37" s="1"/>
      <c r="BA37" s="1"/>
      <c r="BB37" s="1"/>
      <c r="BC37" s="1"/>
      <c r="BD37" s="2">
        <v>274</v>
      </c>
      <c r="BE37" s="1">
        <f t="shared" si="16"/>
        <v>3.4815756035578143</v>
      </c>
      <c r="BF37" s="2">
        <v>276</v>
      </c>
      <c r="BG37" s="1">
        <f t="shared" si="5"/>
        <v>3.5069885641677252</v>
      </c>
      <c r="BH37" s="2">
        <v>185</v>
      </c>
      <c r="BI37" s="1">
        <f t="shared" si="6"/>
        <v>2.3506988564167726</v>
      </c>
      <c r="BJ37" s="2">
        <v>167</v>
      </c>
      <c r="BK37" s="1">
        <f t="shared" si="7"/>
        <v>2.1219822109275728</v>
      </c>
      <c r="BL37" s="2">
        <v>162</v>
      </c>
      <c r="BM37" s="1">
        <f t="shared" si="8"/>
        <v>2.0584498094027954</v>
      </c>
      <c r="BN37" s="2">
        <v>180</v>
      </c>
      <c r="BO37" s="1">
        <f t="shared" si="9"/>
        <v>2.2871664548919948</v>
      </c>
      <c r="BP37" s="2">
        <v>150</v>
      </c>
      <c r="BQ37" s="1">
        <f t="shared" si="10"/>
        <v>1.9059720457433291</v>
      </c>
      <c r="BR37" s="2">
        <v>186</v>
      </c>
      <c r="BS37" s="1">
        <f t="shared" si="11"/>
        <v>2.363405336721728</v>
      </c>
      <c r="BT37" s="2">
        <v>184</v>
      </c>
      <c r="BU37" s="1">
        <f t="shared" si="12"/>
        <v>2.3379923761118171</v>
      </c>
      <c r="BV37" s="2">
        <v>247</v>
      </c>
      <c r="BW37" s="1">
        <f t="shared" si="36"/>
        <v>3.1385006353240152</v>
      </c>
      <c r="BX37" s="1">
        <f t="shared" si="14"/>
        <v>0.99459459459459465</v>
      </c>
      <c r="BY37" s="1">
        <f t="shared" si="18"/>
        <v>1.4790419161676647</v>
      </c>
      <c r="BZ37" s="32"/>
      <c r="CA37" s="32"/>
      <c r="CB37" s="32"/>
      <c r="CC37" s="32"/>
      <c r="CD37" s="32"/>
      <c r="CE37" s="32"/>
      <c r="CF37" s="32"/>
      <c r="CG37" s="32"/>
    </row>
    <row r="38" spans="1:85" ht="14.25" customHeight="1" thickBot="1">
      <c r="A38" s="19" t="s">
        <v>130</v>
      </c>
      <c r="B38" s="2">
        <v>77</v>
      </c>
      <c r="C38" s="2" t="s">
        <v>83</v>
      </c>
      <c r="D38" s="10" t="s">
        <v>84</v>
      </c>
      <c r="E38" s="2" t="s">
        <v>131</v>
      </c>
      <c r="F38" s="21">
        <v>39013</v>
      </c>
      <c r="G38" s="8" t="s">
        <v>122</v>
      </c>
      <c r="H38" s="12">
        <v>19</v>
      </c>
      <c r="I38" s="2">
        <v>76.599999999999994</v>
      </c>
      <c r="J38" s="2">
        <v>188.4</v>
      </c>
      <c r="K38" s="1"/>
      <c r="L38" s="1"/>
      <c r="M38" s="9" t="s">
        <v>166</v>
      </c>
      <c r="N38" s="2">
        <v>1282</v>
      </c>
      <c r="O38" s="2">
        <v>33.4</v>
      </c>
      <c r="P38" s="2">
        <v>42.6</v>
      </c>
      <c r="Q38" s="2">
        <v>10.7</v>
      </c>
      <c r="R38" s="2">
        <v>11.7</v>
      </c>
      <c r="S38" s="2">
        <v>12.1</v>
      </c>
      <c r="T38" s="2">
        <v>13.2</v>
      </c>
      <c r="U38" s="2">
        <v>30.4</v>
      </c>
      <c r="V38" s="2">
        <v>31.5</v>
      </c>
      <c r="W38" s="2">
        <v>26.1</v>
      </c>
      <c r="X38" s="2">
        <v>23.5</v>
      </c>
      <c r="Y38" s="1">
        <f t="shared" si="30"/>
        <v>61.9</v>
      </c>
      <c r="Z38" s="1">
        <f t="shared" si="31"/>
        <v>49.6</v>
      </c>
      <c r="AA38" s="1">
        <f t="shared" si="32"/>
        <v>1.2479838709677418</v>
      </c>
      <c r="AB38" s="2">
        <v>14</v>
      </c>
      <c r="AC38" s="2">
        <v>17</v>
      </c>
      <c r="AD38" s="2">
        <v>11</v>
      </c>
      <c r="AE38" s="2">
        <v>11.5</v>
      </c>
      <c r="AF38" s="2">
        <v>24</v>
      </c>
      <c r="AG38" s="1"/>
      <c r="AH38" s="1">
        <f t="shared" si="33"/>
        <v>0</v>
      </c>
      <c r="AI38" s="1"/>
      <c r="AJ38" s="1">
        <f t="shared" si="34"/>
        <v>0</v>
      </c>
      <c r="AK38" s="1"/>
      <c r="AL38" s="1"/>
      <c r="AM38" s="2">
        <v>34.4</v>
      </c>
      <c r="AN38" s="2">
        <v>1946.5</v>
      </c>
      <c r="AO38" s="2">
        <v>14319</v>
      </c>
      <c r="AP38" s="2">
        <v>2.81</v>
      </c>
      <c r="AQ38" s="1"/>
      <c r="AR38" s="1"/>
      <c r="AS38" s="1"/>
      <c r="AT38" s="1"/>
      <c r="AU38" s="2">
        <v>18.5</v>
      </c>
      <c r="AV38" s="1"/>
      <c r="AW38" s="1"/>
      <c r="AX38" s="1"/>
      <c r="AY38" s="1"/>
      <c r="AZ38" s="1"/>
      <c r="BA38" s="1"/>
      <c r="BB38" s="1"/>
      <c r="BC38" s="1"/>
      <c r="BD38" s="2">
        <v>245</v>
      </c>
      <c r="BE38" s="1">
        <f t="shared" si="16"/>
        <v>3.1984334203655354</v>
      </c>
      <c r="BF38" s="2">
        <v>225</v>
      </c>
      <c r="BG38" s="1">
        <f t="shared" si="5"/>
        <v>2.9373368146214101</v>
      </c>
      <c r="BH38" s="2">
        <v>151</v>
      </c>
      <c r="BI38" s="1">
        <f t="shared" si="6"/>
        <v>1.9712793733681464</v>
      </c>
      <c r="BJ38" s="2">
        <v>148</v>
      </c>
      <c r="BK38" s="1">
        <f t="shared" si="7"/>
        <v>1.9321148825065275</v>
      </c>
      <c r="BL38" s="2">
        <v>125</v>
      </c>
      <c r="BM38" s="1">
        <f t="shared" si="8"/>
        <v>1.6318537859007833</v>
      </c>
      <c r="BN38" s="2">
        <v>142</v>
      </c>
      <c r="BO38" s="1">
        <f t="shared" si="9"/>
        <v>1.85378590078329</v>
      </c>
      <c r="BP38" s="2">
        <v>169</v>
      </c>
      <c r="BQ38" s="1">
        <f t="shared" si="10"/>
        <v>2.206266318537859</v>
      </c>
      <c r="BR38" s="2">
        <v>179</v>
      </c>
      <c r="BS38" s="1">
        <f t="shared" si="11"/>
        <v>2.3368146214099217</v>
      </c>
      <c r="BT38" s="1"/>
      <c r="BU38" s="1">
        <f t="shared" si="12"/>
        <v>0</v>
      </c>
      <c r="BV38" s="1"/>
      <c r="BW38" s="1">
        <f t="shared" si="36"/>
        <v>0</v>
      </c>
      <c r="BX38" s="1">
        <f t="shared" si="14"/>
        <v>0</v>
      </c>
      <c r="BY38" s="1">
        <f t="shared" si="18"/>
        <v>0</v>
      </c>
      <c r="BZ38" s="35">
        <v>4</v>
      </c>
      <c r="CA38" s="35">
        <v>6.5</v>
      </c>
      <c r="CB38" s="35">
        <v>1.5</v>
      </c>
      <c r="CC38" s="35">
        <v>8</v>
      </c>
      <c r="CD38" s="35">
        <v>4</v>
      </c>
      <c r="CE38" s="35">
        <v>4.5</v>
      </c>
      <c r="CF38" s="35">
        <v>5</v>
      </c>
      <c r="CG38" s="35">
        <v>3</v>
      </c>
    </row>
    <row r="39" spans="1:85" ht="14.25" customHeight="1" thickBot="1">
      <c r="A39" s="22" t="s">
        <v>132</v>
      </c>
      <c r="B39" s="2">
        <v>63</v>
      </c>
      <c r="C39" s="2" t="s">
        <v>83</v>
      </c>
      <c r="D39" s="10" t="s">
        <v>79</v>
      </c>
      <c r="E39" s="2" t="s">
        <v>104</v>
      </c>
      <c r="F39" s="21">
        <v>37600</v>
      </c>
      <c r="G39" s="12" t="s">
        <v>122</v>
      </c>
      <c r="H39" s="20">
        <v>23</v>
      </c>
      <c r="I39" s="2">
        <v>93</v>
      </c>
      <c r="J39" s="2">
        <v>190.5</v>
      </c>
      <c r="K39" s="1"/>
      <c r="L39" s="1"/>
      <c r="M39" s="9" t="s">
        <v>166</v>
      </c>
      <c r="N39" s="2">
        <v>1351</v>
      </c>
      <c r="O39" s="2">
        <v>44.8</v>
      </c>
      <c r="P39" s="2">
        <v>42.6</v>
      </c>
      <c r="Q39" s="2">
        <v>11</v>
      </c>
      <c r="R39" s="2">
        <v>9.6</v>
      </c>
      <c r="S39" s="2">
        <v>13.5</v>
      </c>
      <c r="T39" s="2">
        <v>12.3</v>
      </c>
      <c r="U39" s="2">
        <v>22.2</v>
      </c>
      <c r="V39" s="2">
        <v>21</v>
      </c>
      <c r="W39" s="2">
        <v>24.6</v>
      </c>
      <c r="X39" s="2">
        <v>26.6</v>
      </c>
      <c r="Y39" s="1">
        <f t="shared" si="30"/>
        <v>43.2</v>
      </c>
      <c r="Z39" s="1">
        <f t="shared" si="31"/>
        <v>51.2</v>
      </c>
      <c r="AA39" s="1">
        <f t="shared" si="32"/>
        <v>0.84375</v>
      </c>
      <c r="AB39" s="2">
        <v>16</v>
      </c>
      <c r="AC39" s="2">
        <v>20</v>
      </c>
      <c r="AD39" s="2">
        <v>6</v>
      </c>
      <c r="AE39" s="2">
        <v>5</v>
      </c>
      <c r="AF39" s="2">
        <v>2</v>
      </c>
      <c r="AG39" s="1"/>
      <c r="AH39" s="1">
        <f t="shared" si="33"/>
        <v>0</v>
      </c>
      <c r="AI39" s="1"/>
      <c r="AJ39" s="1">
        <f t="shared" si="34"/>
        <v>0</v>
      </c>
      <c r="AK39" s="1"/>
      <c r="AL39" s="1"/>
      <c r="AM39" s="2">
        <v>39.5</v>
      </c>
      <c r="AN39" s="2">
        <v>2576</v>
      </c>
      <c r="AO39" s="2">
        <v>20548</v>
      </c>
      <c r="AP39" s="2">
        <v>3.03</v>
      </c>
      <c r="AQ39" s="1"/>
      <c r="AR39" s="1"/>
      <c r="AS39" s="1"/>
      <c r="AT39" s="1"/>
      <c r="AU39" s="2">
        <v>16</v>
      </c>
      <c r="AV39" s="1"/>
      <c r="AW39" s="1"/>
      <c r="AX39" s="1"/>
      <c r="AY39" s="1"/>
      <c r="AZ39" s="1"/>
      <c r="BA39" s="1"/>
      <c r="BB39" s="1"/>
      <c r="BC39" s="1"/>
      <c r="BD39" s="2">
        <v>290</v>
      </c>
      <c r="BE39" s="1">
        <f t="shared" si="16"/>
        <v>3.118279569892473</v>
      </c>
      <c r="BF39" s="2">
        <v>209</v>
      </c>
      <c r="BG39" s="1">
        <f t="shared" si="5"/>
        <v>2.247311827956989</v>
      </c>
      <c r="BH39" s="2">
        <v>228</v>
      </c>
      <c r="BI39" s="1">
        <f t="shared" si="6"/>
        <v>2.4516129032258065</v>
      </c>
      <c r="BJ39" s="2">
        <v>206</v>
      </c>
      <c r="BK39" s="1">
        <f t="shared" si="7"/>
        <v>2.21505376344086</v>
      </c>
      <c r="BL39" s="2">
        <v>143</v>
      </c>
      <c r="BM39" s="1">
        <f t="shared" si="8"/>
        <v>1.5376344086021505</v>
      </c>
      <c r="BN39" s="2">
        <v>142</v>
      </c>
      <c r="BO39" s="1">
        <f t="shared" si="9"/>
        <v>1.5268817204301075</v>
      </c>
      <c r="BP39" s="2">
        <v>208</v>
      </c>
      <c r="BQ39" s="1">
        <f t="shared" si="10"/>
        <v>2.236559139784946</v>
      </c>
      <c r="BR39" s="2">
        <v>143</v>
      </c>
      <c r="BS39" s="1">
        <f t="shared" si="11"/>
        <v>1.5376344086021505</v>
      </c>
      <c r="BT39" s="2">
        <v>186</v>
      </c>
      <c r="BU39" s="1">
        <f t="shared" si="12"/>
        <v>2</v>
      </c>
      <c r="BV39" s="2">
        <v>171</v>
      </c>
      <c r="BW39" s="1">
        <f t="shared" si="36"/>
        <v>1.8387096774193548</v>
      </c>
      <c r="BX39" s="1">
        <f t="shared" si="14"/>
        <v>0.81578947368421051</v>
      </c>
      <c r="BY39" s="1">
        <f t="shared" si="18"/>
        <v>0.83009708737864074</v>
      </c>
      <c r="BZ39" s="36">
        <v>6.5</v>
      </c>
      <c r="CA39" s="36">
        <v>5.5</v>
      </c>
      <c r="CB39" s="36">
        <v>2.5</v>
      </c>
      <c r="CC39" s="36">
        <v>9</v>
      </c>
      <c r="CD39" s="36">
        <v>4</v>
      </c>
      <c r="CE39" s="36">
        <v>6</v>
      </c>
      <c r="CF39" s="36">
        <v>7</v>
      </c>
      <c r="CG39" s="36">
        <v>5</v>
      </c>
    </row>
    <row r="40" spans="1:85" ht="14.25" customHeight="1" thickBot="1">
      <c r="A40" s="23" t="s">
        <v>133</v>
      </c>
      <c r="B40" s="2">
        <v>66</v>
      </c>
      <c r="C40" s="2" t="s">
        <v>83</v>
      </c>
      <c r="D40" s="10" t="s">
        <v>79</v>
      </c>
      <c r="E40" s="2" t="s">
        <v>104</v>
      </c>
      <c r="F40" s="9">
        <v>39083</v>
      </c>
      <c r="G40" s="8" t="s">
        <v>122</v>
      </c>
      <c r="H40" s="14">
        <v>19</v>
      </c>
      <c r="I40" s="2">
        <v>81.400000000000006</v>
      </c>
      <c r="J40" s="2">
        <v>186.5</v>
      </c>
      <c r="K40" s="1"/>
      <c r="L40" s="1"/>
      <c r="M40" s="9" t="s">
        <v>166</v>
      </c>
      <c r="N40" s="2">
        <v>1216</v>
      </c>
      <c r="O40" s="2">
        <v>40.1</v>
      </c>
      <c r="P40" s="2">
        <v>41.9</v>
      </c>
      <c r="Q40" s="2">
        <v>9.1999999999999993</v>
      </c>
      <c r="R40" s="2">
        <v>11.6</v>
      </c>
      <c r="S40" s="2">
        <v>14.8</v>
      </c>
      <c r="T40" s="2">
        <v>13.1</v>
      </c>
      <c r="U40" s="2"/>
      <c r="V40" s="1"/>
      <c r="W40" s="2">
        <v>20</v>
      </c>
      <c r="X40" s="2">
        <v>21</v>
      </c>
      <c r="Y40" s="1">
        <f t="shared" si="30"/>
        <v>0</v>
      </c>
      <c r="Z40" s="1">
        <f t="shared" si="31"/>
        <v>41</v>
      </c>
      <c r="AA40" s="1">
        <f t="shared" si="32"/>
        <v>0</v>
      </c>
      <c r="AB40" s="2">
        <v>16</v>
      </c>
      <c r="AC40" s="2">
        <v>16</v>
      </c>
      <c r="AD40" s="2">
        <v>10</v>
      </c>
      <c r="AE40" s="2">
        <v>9</v>
      </c>
      <c r="AF40" s="2">
        <v>18</v>
      </c>
      <c r="AG40" s="1"/>
      <c r="AH40" s="1">
        <f t="shared" si="33"/>
        <v>0</v>
      </c>
      <c r="AI40" s="1"/>
      <c r="AJ40" s="1">
        <f t="shared" si="34"/>
        <v>0</v>
      </c>
      <c r="AK40" s="1"/>
      <c r="AL40" s="1"/>
      <c r="AM40" s="2">
        <v>38.6</v>
      </c>
      <c r="AN40" s="2">
        <v>2056</v>
      </c>
      <c r="AO40" s="2">
        <v>10880</v>
      </c>
      <c r="AP40" s="2">
        <v>2.78</v>
      </c>
      <c r="AQ40" s="1"/>
      <c r="AR40" s="1"/>
      <c r="AS40" s="1"/>
      <c r="AT40" s="1"/>
      <c r="AU40" s="2">
        <v>17</v>
      </c>
      <c r="AV40" s="1"/>
      <c r="AW40" s="1"/>
      <c r="AX40" s="1"/>
      <c r="AY40" s="1"/>
      <c r="AZ40" s="1"/>
      <c r="BA40" s="1"/>
      <c r="BB40" s="1"/>
      <c r="BC40" s="1"/>
      <c r="BD40" s="2">
        <v>339</v>
      </c>
      <c r="BE40" s="1">
        <f t="shared" si="16"/>
        <v>4.1646191646191646</v>
      </c>
      <c r="BF40" s="2">
        <v>316</v>
      </c>
      <c r="BG40" s="1">
        <f t="shared" si="5"/>
        <v>3.882063882063882</v>
      </c>
      <c r="BH40" s="2">
        <v>203</v>
      </c>
      <c r="BI40" s="1">
        <f t="shared" si="6"/>
        <v>2.4938574938574938</v>
      </c>
      <c r="BJ40" s="2">
        <v>195</v>
      </c>
      <c r="BK40" s="1">
        <f t="shared" si="7"/>
        <v>2.3955773955773956</v>
      </c>
      <c r="BL40" s="2">
        <v>184</v>
      </c>
      <c r="BM40" s="1">
        <f t="shared" si="8"/>
        <v>2.2604422604422605</v>
      </c>
      <c r="BN40" s="2">
        <v>143</v>
      </c>
      <c r="BO40" s="1">
        <f t="shared" si="9"/>
        <v>1.7567567567567566</v>
      </c>
      <c r="BP40" s="2">
        <v>127</v>
      </c>
      <c r="BQ40" s="1">
        <f t="shared" si="10"/>
        <v>1.5601965601965602</v>
      </c>
      <c r="BR40" s="2">
        <v>131</v>
      </c>
      <c r="BS40" s="1">
        <f t="shared" si="11"/>
        <v>1.6093366093366093</v>
      </c>
      <c r="BT40" s="2">
        <v>198</v>
      </c>
      <c r="BU40" s="1">
        <f t="shared" si="12"/>
        <v>2.4324324324324325</v>
      </c>
      <c r="BV40" s="2">
        <v>206</v>
      </c>
      <c r="BW40" s="1">
        <f t="shared" si="36"/>
        <v>2.5307125307125307</v>
      </c>
      <c r="BX40" s="1">
        <f t="shared" si="14"/>
        <v>0.97536945812807885</v>
      </c>
      <c r="BY40" s="1">
        <f t="shared" si="18"/>
        <v>1.0564102564102564</v>
      </c>
      <c r="BZ40" s="34"/>
      <c r="CA40" s="34"/>
      <c r="CB40" s="34"/>
      <c r="CC40" s="34"/>
      <c r="CD40" s="34"/>
      <c r="CE40" s="34"/>
      <c r="CF40" s="34"/>
      <c r="CG40" s="34"/>
    </row>
    <row r="41" spans="1:85" ht="14.25" customHeight="1" thickBot="1">
      <c r="A41" s="22" t="s">
        <v>134</v>
      </c>
      <c r="B41" s="2">
        <v>79</v>
      </c>
      <c r="C41" s="2" t="s">
        <v>83</v>
      </c>
      <c r="D41" s="6" t="s">
        <v>93</v>
      </c>
      <c r="E41" s="2" t="s">
        <v>97</v>
      </c>
      <c r="F41" s="9">
        <v>38874</v>
      </c>
      <c r="G41" s="12" t="s">
        <v>122</v>
      </c>
      <c r="H41" s="20">
        <v>20</v>
      </c>
      <c r="I41" s="2">
        <v>68.099999999999994</v>
      </c>
      <c r="J41" s="2">
        <v>180.3</v>
      </c>
      <c r="K41" s="1"/>
      <c r="L41" s="24"/>
      <c r="M41" s="9" t="s">
        <v>166</v>
      </c>
      <c r="N41" s="2">
        <v>943</v>
      </c>
      <c r="O41" s="2">
        <v>37</v>
      </c>
      <c r="P41" s="2">
        <v>34.6</v>
      </c>
      <c r="Q41" s="2">
        <v>11.5</v>
      </c>
      <c r="R41" s="2">
        <v>11.6</v>
      </c>
      <c r="S41" s="2">
        <v>7.6</v>
      </c>
      <c r="T41" s="2">
        <v>9.8000000000000007</v>
      </c>
      <c r="U41" s="2">
        <v>19.100000000000001</v>
      </c>
      <c r="V41" s="2">
        <v>20</v>
      </c>
      <c r="W41" s="2">
        <v>13.2</v>
      </c>
      <c r="X41" s="2">
        <v>15.9</v>
      </c>
      <c r="Y41" s="1">
        <f t="shared" si="30"/>
        <v>39.1</v>
      </c>
      <c r="Z41" s="1">
        <f t="shared" si="31"/>
        <v>29.1</v>
      </c>
      <c r="AA41" s="1">
        <f t="shared" si="32"/>
        <v>1.3436426116838487</v>
      </c>
      <c r="AB41" s="2">
        <v>24</v>
      </c>
      <c r="AC41" s="2">
        <v>19</v>
      </c>
      <c r="AD41" s="2">
        <v>18</v>
      </c>
      <c r="AE41" s="2">
        <v>17</v>
      </c>
      <c r="AF41" s="2">
        <v>42.5</v>
      </c>
      <c r="AG41" s="1"/>
      <c r="AH41" s="1">
        <f t="shared" si="33"/>
        <v>0</v>
      </c>
      <c r="AI41" s="1"/>
      <c r="AJ41" s="1">
        <f t="shared" si="34"/>
        <v>0</v>
      </c>
      <c r="AK41" s="1"/>
      <c r="AL41" s="1"/>
      <c r="AM41" s="2">
        <v>33.200000000000003</v>
      </c>
      <c r="AN41" s="2">
        <v>1769</v>
      </c>
      <c r="AO41" s="2">
        <v>12906</v>
      </c>
      <c r="AP41" s="2">
        <v>2.27</v>
      </c>
      <c r="AQ41" s="1"/>
      <c r="AR41" s="1"/>
      <c r="AS41" s="1"/>
      <c r="AT41" s="1"/>
      <c r="AU41" s="2">
        <v>18</v>
      </c>
      <c r="AV41" s="1"/>
      <c r="AW41" s="1"/>
      <c r="AX41" s="1"/>
      <c r="AY41" s="1"/>
      <c r="AZ41" s="1"/>
      <c r="BA41" s="1"/>
      <c r="BB41" s="1"/>
      <c r="BC41" s="1"/>
      <c r="BD41" s="2">
        <v>246</v>
      </c>
      <c r="BE41" s="1">
        <f t="shared" si="16"/>
        <v>3.6123348017621146</v>
      </c>
      <c r="BF41" s="2">
        <v>205</v>
      </c>
      <c r="BG41" s="1">
        <f t="shared" si="5"/>
        <v>3.0102790014684291</v>
      </c>
      <c r="BH41" s="2">
        <v>158</v>
      </c>
      <c r="BI41" s="1">
        <f t="shared" si="6"/>
        <v>2.3201174743024966</v>
      </c>
      <c r="BJ41" s="2">
        <v>140</v>
      </c>
      <c r="BK41" s="1">
        <f t="shared" si="7"/>
        <v>2.0558002936857562</v>
      </c>
      <c r="BL41" s="2">
        <v>125</v>
      </c>
      <c r="BM41" s="1">
        <f t="shared" si="8"/>
        <v>1.8355359765051396</v>
      </c>
      <c r="BN41" s="2">
        <v>130</v>
      </c>
      <c r="BO41" s="1">
        <f t="shared" si="9"/>
        <v>1.9089574155653453</v>
      </c>
      <c r="BP41" s="2">
        <v>133</v>
      </c>
      <c r="BQ41" s="1">
        <f t="shared" si="10"/>
        <v>1.9530102790014685</v>
      </c>
      <c r="BR41" s="2">
        <v>88</v>
      </c>
      <c r="BS41" s="1">
        <f t="shared" si="11"/>
        <v>1.2922173274596183</v>
      </c>
      <c r="BT41" s="2">
        <v>166</v>
      </c>
      <c r="BU41" s="1">
        <f t="shared" si="12"/>
        <v>2.4375917767988255</v>
      </c>
      <c r="BV41" s="1"/>
      <c r="BW41" s="1">
        <f t="shared" si="36"/>
        <v>0</v>
      </c>
      <c r="BX41" s="1">
        <f t="shared" si="14"/>
        <v>1.0506329113924051</v>
      </c>
      <c r="BY41" s="1">
        <f t="shared" si="18"/>
        <v>0</v>
      </c>
      <c r="BZ41" s="32"/>
      <c r="CA41" s="32"/>
      <c r="CB41" s="32"/>
      <c r="CC41" s="32"/>
      <c r="CD41" s="32"/>
      <c r="CE41" s="32"/>
      <c r="CF41" s="32"/>
      <c r="CG41" s="32"/>
    </row>
    <row r="42" spans="1:85" ht="14.25" customHeight="1" thickBot="1">
      <c r="A42" s="22" t="s">
        <v>135</v>
      </c>
      <c r="B42" s="2">
        <v>64</v>
      </c>
      <c r="C42" s="2" t="s">
        <v>83</v>
      </c>
      <c r="D42" s="10" t="s">
        <v>79</v>
      </c>
      <c r="E42" s="2" t="s">
        <v>80</v>
      </c>
      <c r="F42" s="9">
        <v>37488</v>
      </c>
      <c r="G42" s="8" t="s">
        <v>122</v>
      </c>
      <c r="H42" s="12">
        <v>23</v>
      </c>
      <c r="I42" s="2">
        <v>67</v>
      </c>
      <c r="J42" s="2">
        <v>175.5</v>
      </c>
      <c r="K42" s="1"/>
      <c r="L42" s="1"/>
      <c r="M42" s="9" t="s">
        <v>166</v>
      </c>
      <c r="N42" s="2">
        <v>1010</v>
      </c>
      <c r="O42" s="2">
        <v>27.7</v>
      </c>
      <c r="P42" s="2">
        <v>28.8</v>
      </c>
      <c r="Q42" s="2">
        <v>8.9</v>
      </c>
      <c r="R42" s="2">
        <v>9.6999999999999993</v>
      </c>
      <c r="S42" s="2">
        <v>11.2</v>
      </c>
      <c r="T42" s="2">
        <v>10</v>
      </c>
      <c r="U42" s="2">
        <v>34.6</v>
      </c>
      <c r="V42" s="2">
        <v>31.1</v>
      </c>
      <c r="W42" s="2">
        <v>22.9</v>
      </c>
      <c r="X42" s="2">
        <v>20.7</v>
      </c>
      <c r="Y42" s="1">
        <f t="shared" si="30"/>
        <v>65.7</v>
      </c>
      <c r="Z42" s="1">
        <f t="shared" si="31"/>
        <v>43.599999999999994</v>
      </c>
      <c r="AA42" s="1">
        <f t="shared" si="32"/>
        <v>1.5068807339449544</v>
      </c>
      <c r="AB42" s="2">
        <v>10</v>
      </c>
      <c r="AC42" s="2">
        <v>10</v>
      </c>
      <c r="AD42" s="2">
        <v>11</v>
      </c>
      <c r="AE42" s="2">
        <v>13</v>
      </c>
      <c r="AF42" s="2">
        <v>15.5</v>
      </c>
      <c r="AG42" s="1"/>
      <c r="AH42" s="1">
        <f t="shared" si="33"/>
        <v>0</v>
      </c>
      <c r="AI42" s="1"/>
      <c r="AJ42" s="1">
        <f t="shared" si="34"/>
        <v>0</v>
      </c>
      <c r="AK42" s="1"/>
      <c r="AL42" s="1"/>
      <c r="AM42" s="2">
        <v>34.6</v>
      </c>
      <c r="AN42" s="2">
        <v>1714</v>
      </c>
      <c r="AO42" s="2">
        <v>11086</v>
      </c>
      <c r="AP42" s="2">
        <v>2.54</v>
      </c>
      <c r="AQ42" s="1"/>
      <c r="AR42" s="1"/>
      <c r="AS42" s="1"/>
      <c r="AT42" s="1"/>
      <c r="AU42" s="2">
        <v>18</v>
      </c>
      <c r="AV42" s="1"/>
      <c r="AW42" s="1"/>
      <c r="AX42" s="1"/>
      <c r="AY42" s="1"/>
      <c r="AZ42" s="1"/>
      <c r="BA42" s="1"/>
      <c r="BB42" s="1"/>
      <c r="BC42" s="1"/>
      <c r="BD42" s="2">
        <v>226</v>
      </c>
      <c r="BE42" s="1">
        <f t="shared" si="16"/>
        <v>3.3731343283582089</v>
      </c>
      <c r="BF42" s="2">
        <v>194</v>
      </c>
      <c r="BG42" s="1">
        <f t="shared" si="5"/>
        <v>2.8955223880597014</v>
      </c>
      <c r="BH42" s="2">
        <v>151</v>
      </c>
      <c r="BI42" s="1">
        <f t="shared" si="6"/>
        <v>2.2537313432835822</v>
      </c>
      <c r="BJ42" s="2">
        <v>128</v>
      </c>
      <c r="BK42" s="1">
        <f t="shared" si="7"/>
        <v>1.9104477611940298</v>
      </c>
      <c r="BL42" s="2">
        <v>122</v>
      </c>
      <c r="BM42" s="1">
        <f t="shared" si="8"/>
        <v>1.8208955223880596</v>
      </c>
      <c r="BN42" s="2">
        <v>116</v>
      </c>
      <c r="BO42" s="1">
        <f t="shared" si="9"/>
        <v>1.7313432835820894</v>
      </c>
      <c r="BP42" s="2">
        <v>113</v>
      </c>
      <c r="BQ42" s="1">
        <f t="shared" si="10"/>
        <v>1.6865671641791045</v>
      </c>
      <c r="BR42" s="2">
        <v>88</v>
      </c>
      <c r="BS42" s="1">
        <f t="shared" si="11"/>
        <v>1.3134328358208955</v>
      </c>
      <c r="BT42" s="2">
        <v>167</v>
      </c>
      <c r="BU42" s="1">
        <f t="shared" si="12"/>
        <v>2.4925373134328357</v>
      </c>
      <c r="BV42" s="2">
        <v>146</v>
      </c>
      <c r="BW42" s="1">
        <f t="shared" si="36"/>
        <v>2.1791044776119404</v>
      </c>
      <c r="BX42" s="1">
        <f t="shared" si="14"/>
        <v>1.1059602649006623</v>
      </c>
      <c r="BY42" s="1">
        <f t="shared" si="18"/>
        <v>1.140625</v>
      </c>
      <c r="BZ42" s="34"/>
      <c r="CA42" s="34"/>
      <c r="CB42" s="34"/>
      <c r="CC42" s="34"/>
      <c r="CD42" s="34"/>
      <c r="CE42" s="34"/>
      <c r="CF42" s="34"/>
      <c r="CG42" s="34"/>
    </row>
    <row r="43" spans="1:85" ht="14.25" customHeight="1" thickBot="1">
      <c r="A43" s="23" t="s">
        <v>136</v>
      </c>
      <c r="B43" s="2">
        <v>62</v>
      </c>
      <c r="C43" s="2" t="s">
        <v>78</v>
      </c>
      <c r="D43" s="10" t="s">
        <v>84</v>
      </c>
      <c r="E43" s="2" t="s">
        <v>87</v>
      </c>
      <c r="F43" s="9">
        <v>37859</v>
      </c>
      <c r="G43" s="12" t="s">
        <v>122</v>
      </c>
      <c r="H43" s="20">
        <v>22</v>
      </c>
      <c r="I43" s="2">
        <v>70.2</v>
      </c>
      <c r="J43" s="2">
        <v>173.6</v>
      </c>
      <c r="K43" s="1"/>
      <c r="L43" s="1"/>
      <c r="M43" s="9" t="s">
        <v>166</v>
      </c>
      <c r="N43" s="2">
        <v>1018</v>
      </c>
      <c r="O43" s="2">
        <v>44.1</v>
      </c>
      <c r="P43" s="2">
        <v>38.4</v>
      </c>
      <c r="Q43" s="2">
        <v>9.4</v>
      </c>
      <c r="R43" s="2">
        <v>12.1</v>
      </c>
      <c r="S43" s="2">
        <v>9.5</v>
      </c>
      <c r="T43" s="2">
        <v>12.2</v>
      </c>
      <c r="U43" s="2">
        <v>25.9</v>
      </c>
      <c r="V43" s="2">
        <v>26.5</v>
      </c>
      <c r="W43" s="2">
        <v>26.9</v>
      </c>
      <c r="X43" s="2">
        <v>29</v>
      </c>
      <c r="Y43" s="1">
        <f t="shared" si="30"/>
        <v>52.4</v>
      </c>
      <c r="Z43" s="1">
        <f t="shared" si="31"/>
        <v>55.9</v>
      </c>
      <c r="AA43" s="1">
        <f t="shared" si="32"/>
        <v>0.93738819320214672</v>
      </c>
      <c r="AB43" s="2">
        <v>11</v>
      </c>
      <c r="AC43" s="2">
        <v>10</v>
      </c>
      <c r="AD43" s="2">
        <v>6</v>
      </c>
      <c r="AE43" s="2">
        <v>7</v>
      </c>
      <c r="AF43" s="2">
        <v>16.5</v>
      </c>
      <c r="AG43" s="1"/>
      <c r="AH43" s="1">
        <f t="shared" si="33"/>
        <v>0</v>
      </c>
      <c r="AI43" s="1"/>
      <c r="AJ43" s="1">
        <f t="shared" si="34"/>
        <v>0</v>
      </c>
      <c r="AK43" s="1"/>
      <c r="AL43" s="1"/>
      <c r="AM43" s="2">
        <v>36.1</v>
      </c>
      <c r="AN43" s="2">
        <v>2185</v>
      </c>
      <c r="AO43" s="2">
        <v>16691</v>
      </c>
      <c r="AP43" s="2">
        <v>3.11</v>
      </c>
      <c r="AQ43" s="1"/>
      <c r="AR43" s="1"/>
      <c r="AS43" s="1"/>
      <c r="AT43" s="1"/>
      <c r="AU43" s="2">
        <v>17</v>
      </c>
      <c r="AV43" s="1"/>
      <c r="AW43" s="1"/>
      <c r="AX43" s="1"/>
      <c r="AY43" s="1"/>
      <c r="AZ43" s="1"/>
      <c r="BA43" s="1"/>
      <c r="BB43" s="1"/>
      <c r="BC43" s="1"/>
      <c r="BD43" s="2">
        <v>200</v>
      </c>
      <c r="BE43" s="1">
        <f t="shared" si="16"/>
        <v>2.8490028490028489</v>
      </c>
      <c r="BF43" s="2">
        <v>213</v>
      </c>
      <c r="BG43" s="1">
        <f t="shared" si="5"/>
        <v>3.0341880341880341</v>
      </c>
      <c r="BH43" s="2">
        <v>136</v>
      </c>
      <c r="BI43" s="1">
        <f t="shared" si="6"/>
        <v>1.9373219373219372</v>
      </c>
      <c r="BJ43" s="2">
        <v>142</v>
      </c>
      <c r="BK43" s="1">
        <f t="shared" si="7"/>
        <v>2.0227920227920229</v>
      </c>
      <c r="BL43" s="2">
        <v>110</v>
      </c>
      <c r="BM43" s="1">
        <f t="shared" si="8"/>
        <v>1.5669515669515668</v>
      </c>
      <c r="BN43" s="2">
        <v>87</v>
      </c>
      <c r="BO43" s="1">
        <f t="shared" si="9"/>
        <v>1.2393162393162394</v>
      </c>
      <c r="BP43" s="2">
        <v>84</v>
      </c>
      <c r="BQ43" s="1">
        <f t="shared" si="10"/>
        <v>1.1965811965811965</v>
      </c>
      <c r="BR43" s="2">
        <v>79</v>
      </c>
      <c r="BS43" s="1">
        <f t="shared" si="11"/>
        <v>1.1253561253561253</v>
      </c>
      <c r="BT43" s="1"/>
      <c r="BU43" s="1">
        <f t="shared" si="12"/>
        <v>0</v>
      </c>
      <c r="BV43" s="2">
        <v>121</v>
      </c>
      <c r="BW43" s="1">
        <f>BV42/I43</f>
        <v>2.0797720797720798</v>
      </c>
      <c r="BX43" s="1">
        <f t="shared" si="14"/>
        <v>0</v>
      </c>
      <c r="BY43" s="1">
        <f t="shared" si="18"/>
        <v>0.852112676056338</v>
      </c>
      <c r="BZ43" s="32"/>
      <c r="CA43" s="32"/>
      <c r="CB43" s="32"/>
      <c r="CC43" s="32"/>
      <c r="CD43" s="32"/>
      <c r="CE43" s="32"/>
      <c r="CF43" s="32"/>
      <c r="CG43" s="32"/>
    </row>
    <row r="44" spans="1:85" ht="14.25" customHeight="1" thickBot="1">
      <c r="A44" s="22" t="s">
        <v>137</v>
      </c>
      <c r="B44" s="2">
        <v>68</v>
      </c>
      <c r="C44" s="2" t="s">
        <v>83</v>
      </c>
      <c r="D44" s="6" t="s">
        <v>93</v>
      </c>
      <c r="E44" s="2" t="s">
        <v>106</v>
      </c>
      <c r="F44" s="9">
        <v>39424</v>
      </c>
      <c r="G44" s="8" t="s">
        <v>122</v>
      </c>
      <c r="H44" s="14">
        <v>18</v>
      </c>
      <c r="I44" s="2">
        <v>71</v>
      </c>
      <c r="J44" s="2">
        <v>172.5</v>
      </c>
      <c r="K44" s="1"/>
      <c r="L44" s="1"/>
      <c r="M44" s="9" t="s">
        <v>166</v>
      </c>
      <c r="N44" s="2">
        <v>1131</v>
      </c>
      <c r="O44" s="2">
        <v>39</v>
      </c>
      <c r="P44" s="2">
        <v>36.200000000000003</v>
      </c>
      <c r="Q44" s="2">
        <v>12.5</v>
      </c>
      <c r="R44" s="2">
        <v>11.5</v>
      </c>
      <c r="S44" s="2">
        <v>12.1</v>
      </c>
      <c r="T44" s="2">
        <v>12.1</v>
      </c>
      <c r="U44" s="2">
        <v>32.799999999999997</v>
      </c>
      <c r="V44" s="2">
        <v>29.8</v>
      </c>
      <c r="W44" s="2">
        <v>22.5</v>
      </c>
      <c r="X44" s="2">
        <v>21.2</v>
      </c>
      <c r="Y44" s="1">
        <f t="shared" si="30"/>
        <v>62.599999999999994</v>
      </c>
      <c r="Z44" s="1">
        <f t="shared" si="31"/>
        <v>43.7</v>
      </c>
      <c r="AA44" s="1">
        <f t="shared" si="32"/>
        <v>1.4324942791762012</v>
      </c>
      <c r="AB44" s="2">
        <v>13</v>
      </c>
      <c r="AC44" s="2">
        <v>16</v>
      </c>
      <c r="AD44" s="2">
        <v>13</v>
      </c>
      <c r="AE44" s="2">
        <v>12</v>
      </c>
      <c r="AF44" s="2">
        <v>39</v>
      </c>
      <c r="AG44" s="1"/>
      <c r="AH44" s="1">
        <f t="shared" si="33"/>
        <v>0</v>
      </c>
      <c r="AI44" s="1"/>
      <c r="AJ44" s="1">
        <f t="shared" si="34"/>
        <v>0</v>
      </c>
      <c r="AK44" s="1"/>
      <c r="AL44" s="1"/>
      <c r="AM44" s="2">
        <v>40.5</v>
      </c>
      <c r="AN44" s="2">
        <v>1770</v>
      </c>
      <c r="AO44" s="2">
        <v>8248</v>
      </c>
      <c r="AP44" s="2">
        <v>1.78</v>
      </c>
      <c r="AQ44" s="1"/>
      <c r="AR44" s="1"/>
      <c r="AS44" s="1"/>
      <c r="AT44" s="1"/>
      <c r="AU44" s="2">
        <v>15.5</v>
      </c>
      <c r="AV44" s="1"/>
      <c r="AW44" s="1"/>
      <c r="AX44" s="1"/>
      <c r="AY44" s="1"/>
      <c r="AZ44" s="1"/>
      <c r="BA44" s="1"/>
      <c r="BB44" s="1"/>
      <c r="BC44" s="1"/>
      <c r="BD44" s="2">
        <v>230</v>
      </c>
      <c r="BE44" s="1">
        <f t="shared" si="16"/>
        <v>3.23943661971831</v>
      </c>
      <c r="BF44" s="2">
        <v>237</v>
      </c>
      <c r="BG44" s="1">
        <f t="shared" si="5"/>
        <v>3.3380281690140845</v>
      </c>
      <c r="BH44" s="2">
        <v>158</v>
      </c>
      <c r="BI44" s="1">
        <f t="shared" si="6"/>
        <v>2.2253521126760565</v>
      </c>
      <c r="BJ44" s="2">
        <v>163</v>
      </c>
      <c r="BK44" s="1">
        <f t="shared" si="7"/>
        <v>2.295774647887324</v>
      </c>
      <c r="BL44" s="2">
        <v>113</v>
      </c>
      <c r="BM44" s="1">
        <f t="shared" si="8"/>
        <v>1.591549295774648</v>
      </c>
      <c r="BN44" s="2">
        <v>123</v>
      </c>
      <c r="BO44" s="1">
        <f t="shared" si="9"/>
        <v>1.732394366197183</v>
      </c>
      <c r="BP44" s="2">
        <v>91</v>
      </c>
      <c r="BQ44" s="1">
        <f t="shared" si="10"/>
        <v>1.2816901408450705</v>
      </c>
      <c r="BR44" s="2">
        <v>109</v>
      </c>
      <c r="BS44" s="1">
        <f t="shared" si="11"/>
        <v>1.5352112676056338</v>
      </c>
      <c r="BT44" s="2">
        <v>144</v>
      </c>
      <c r="BU44" s="1">
        <f t="shared" si="12"/>
        <v>2.028169014084507</v>
      </c>
      <c r="BV44" s="2">
        <v>146</v>
      </c>
      <c r="BW44" s="1">
        <f t="shared" ref="BW44:BW52" si="37">BV44/I44</f>
        <v>2.056338028169014</v>
      </c>
      <c r="BX44" s="1">
        <f t="shared" si="14"/>
        <v>0.91139240506329111</v>
      </c>
      <c r="BY44" s="1">
        <f t="shared" si="18"/>
        <v>0.89570552147239269</v>
      </c>
      <c r="BZ44" s="34"/>
      <c r="CA44" s="34"/>
      <c r="CB44" s="34"/>
      <c r="CC44" s="34"/>
      <c r="CD44" s="34"/>
      <c r="CE44" s="34"/>
      <c r="CF44" s="34"/>
      <c r="CG44" s="34"/>
    </row>
    <row r="45" spans="1:85" ht="14.25" customHeight="1" thickBot="1">
      <c r="A45" s="23" t="s">
        <v>138</v>
      </c>
      <c r="B45" s="2"/>
      <c r="C45" s="2" t="s">
        <v>83</v>
      </c>
      <c r="D45" s="2"/>
      <c r="E45" s="2"/>
      <c r="F45" s="9">
        <v>39610</v>
      </c>
      <c r="G45" s="12" t="s">
        <v>122</v>
      </c>
      <c r="H45" s="20"/>
      <c r="I45" s="1"/>
      <c r="J45" s="1"/>
      <c r="K45" s="1"/>
      <c r="L45" s="1"/>
      <c r="M45" s="9" t="s">
        <v>166</v>
      </c>
      <c r="N45" s="2">
        <v>837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>
        <f t="shared" si="30"/>
        <v>0</v>
      </c>
      <c r="Z45" s="1">
        <f t="shared" si="31"/>
        <v>0</v>
      </c>
      <c r="AA45" s="1" t="e">
        <f t="shared" si="32"/>
        <v>#DIV/0!</v>
      </c>
      <c r="AB45" s="1"/>
      <c r="AC45" s="1"/>
      <c r="AD45" s="1"/>
      <c r="AE45" s="1"/>
      <c r="AF45" s="1"/>
      <c r="AG45" s="1"/>
      <c r="AH45" s="1" t="e">
        <f t="shared" si="33"/>
        <v>#DIV/0!</v>
      </c>
      <c r="AI45" s="1"/>
      <c r="AJ45" s="1" t="e">
        <f t="shared" si="34"/>
        <v>#DIV/0!</v>
      </c>
      <c r="AK45" s="1"/>
      <c r="AL45" s="1"/>
      <c r="AM45" s="2">
        <v>29.7</v>
      </c>
      <c r="AN45" s="2">
        <v>1659</v>
      </c>
      <c r="AO45" s="2">
        <v>5849</v>
      </c>
      <c r="AP45" s="2">
        <v>1.65</v>
      </c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 t="e">
        <f t="shared" si="16"/>
        <v>#DIV/0!</v>
      </c>
      <c r="BF45" s="1"/>
      <c r="BG45" s="1" t="e">
        <f t="shared" si="5"/>
        <v>#DIV/0!</v>
      </c>
      <c r="BH45" s="1"/>
      <c r="BI45" s="1" t="e">
        <f t="shared" si="6"/>
        <v>#DIV/0!</v>
      </c>
      <c r="BJ45" s="1"/>
      <c r="BK45" s="1" t="e">
        <f t="shared" si="7"/>
        <v>#DIV/0!</v>
      </c>
      <c r="BL45" s="1"/>
      <c r="BM45" s="1" t="e">
        <f t="shared" si="8"/>
        <v>#DIV/0!</v>
      </c>
      <c r="BN45" s="1"/>
      <c r="BO45" s="1" t="e">
        <f t="shared" si="9"/>
        <v>#DIV/0!</v>
      </c>
      <c r="BP45" s="1"/>
      <c r="BQ45" s="1" t="e">
        <f t="shared" si="10"/>
        <v>#DIV/0!</v>
      </c>
      <c r="BR45" s="1"/>
      <c r="BS45" s="1" t="e">
        <f t="shared" si="11"/>
        <v>#DIV/0!</v>
      </c>
      <c r="BT45" s="1"/>
      <c r="BU45" s="1" t="e">
        <f t="shared" si="12"/>
        <v>#DIV/0!</v>
      </c>
      <c r="BV45" s="1"/>
      <c r="BW45" s="1" t="e">
        <f t="shared" si="37"/>
        <v>#DIV/0!</v>
      </c>
      <c r="BX45" s="1" t="e">
        <f t="shared" si="14"/>
        <v>#DIV/0!</v>
      </c>
      <c r="BY45" s="1" t="e">
        <f t="shared" si="18"/>
        <v>#DIV/0!</v>
      </c>
      <c r="BZ45" s="32"/>
      <c r="CA45" s="32"/>
      <c r="CB45" s="32"/>
      <c r="CC45" s="32"/>
      <c r="CD45" s="32"/>
      <c r="CE45" s="32"/>
      <c r="CF45" s="32"/>
      <c r="CG45" s="32"/>
    </row>
    <row r="46" spans="1:85" ht="14.25" customHeight="1" thickBot="1">
      <c r="A46" s="22" t="s">
        <v>139</v>
      </c>
      <c r="B46" s="2">
        <v>67</v>
      </c>
      <c r="C46" s="2" t="s">
        <v>78</v>
      </c>
      <c r="D46" s="10" t="s">
        <v>79</v>
      </c>
      <c r="E46" s="2" t="s">
        <v>80</v>
      </c>
      <c r="F46" s="9">
        <v>39189</v>
      </c>
      <c r="G46" s="8" t="s">
        <v>122</v>
      </c>
      <c r="H46" s="14">
        <v>19</v>
      </c>
      <c r="I46" s="2">
        <v>71.099999999999994</v>
      </c>
      <c r="J46" s="2">
        <v>177.5</v>
      </c>
      <c r="K46" s="1"/>
      <c r="L46" s="1"/>
      <c r="M46" s="9" t="s">
        <v>166</v>
      </c>
      <c r="N46" s="2" t="s">
        <v>140</v>
      </c>
      <c r="O46" s="2">
        <v>30.9</v>
      </c>
      <c r="P46" s="2">
        <v>35.200000000000003</v>
      </c>
      <c r="Q46" s="2">
        <v>8.3000000000000007</v>
      </c>
      <c r="R46" s="2">
        <v>9.8000000000000007</v>
      </c>
      <c r="S46" s="2">
        <v>12.5</v>
      </c>
      <c r="T46" s="2">
        <v>12.3</v>
      </c>
      <c r="U46" s="2">
        <v>22</v>
      </c>
      <c r="V46" s="2">
        <v>21.8</v>
      </c>
      <c r="W46" s="2">
        <v>25.2</v>
      </c>
      <c r="X46" s="2">
        <v>24.7</v>
      </c>
      <c r="Y46" s="1">
        <f t="shared" si="30"/>
        <v>43.8</v>
      </c>
      <c r="Z46" s="1">
        <f t="shared" si="31"/>
        <v>49.9</v>
      </c>
      <c r="AA46" s="1">
        <f t="shared" si="32"/>
        <v>0.87775551102204408</v>
      </c>
      <c r="AB46" s="2">
        <v>13</v>
      </c>
      <c r="AC46" s="2">
        <v>16</v>
      </c>
      <c r="AD46" s="2">
        <v>11</v>
      </c>
      <c r="AE46" s="2">
        <v>10</v>
      </c>
      <c r="AF46" s="2">
        <v>26</v>
      </c>
      <c r="AG46" s="1"/>
      <c r="AH46" s="1">
        <f t="shared" si="33"/>
        <v>0</v>
      </c>
      <c r="AI46" s="1"/>
      <c r="AJ46" s="1">
        <f t="shared" si="34"/>
        <v>0</v>
      </c>
      <c r="AK46" s="1"/>
      <c r="AL46" s="1"/>
      <c r="AM46" s="2">
        <v>46.1</v>
      </c>
      <c r="AN46" s="2">
        <v>1936</v>
      </c>
      <c r="AO46" s="2">
        <v>12991</v>
      </c>
      <c r="AP46" s="2">
        <v>2.52</v>
      </c>
      <c r="AQ46" s="1"/>
      <c r="AR46" s="1"/>
      <c r="AS46" s="1"/>
      <c r="AT46" s="1"/>
      <c r="AU46" s="2">
        <v>17</v>
      </c>
      <c r="AV46" s="1"/>
      <c r="AW46" s="1"/>
      <c r="AX46" s="1"/>
      <c r="AY46" s="1"/>
      <c r="AZ46" s="1"/>
      <c r="BA46" s="1"/>
      <c r="BB46" s="1"/>
      <c r="BC46" s="1"/>
      <c r="BD46" s="2">
        <v>212</v>
      </c>
      <c r="BE46" s="1">
        <f t="shared" si="16"/>
        <v>2.9817158931082983</v>
      </c>
      <c r="BF46" s="2">
        <v>268</v>
      </c>
      <c r="BG46" s="1">
        <f t="shared" si="5"/>
        <v>3.7693389592123774</v>
      </c>
      <c r="BH46" s="2">
        <v>172</v>
      </c>
      <c r="BI46" s="1">
        <f t="shared" si="6"/>
        <v>2.419127988748242</v>
      </c>
      <c r="BJ46" s="2">
        <v>175</v>
      </c>
      <c r="BK46" s="1">
        <f t="shared" si="7"/>
        <v>2.4613220815752461</v>
      </c>
      <c r="BL46" s="2">
        <v>153</v>
      </c>
      <c r="BM46" s="1">
        <f t="shared" si="8"/>
        <v>2.1518987341772156</v>
      </c>
      <c r="BN46" s="2">
        <v>167</v>
      </c>
      <c r="BO46" s="1">
        <f t="shared" si="9"/>
        <v>2.3488045007032352</v>
      </c>
      <c r="BP46" s="2">
        <v>131</v>
      </c>
      <c r="BQ46" s="1">
        <f t="shared" si="10"/>
        <v>1.8424753867791843</v>
      </c>
      <c r="BR46" s="2">
        <v>138</v>
      </c>
      <c r="BS46" s="1">
        <f t="shared" si="11"/>
        <v>1.9409282700421941</v>
      </c>
      <c r="BT46" s="2">
        <v>166</v>
      </c>
      <c r="BU46" s="1">
        <f t="shared" si="12"/>
        <v>2.3347398030942337</v>
      </c>
      <c r="BV46" s="2">
        <v>145</v>
      </c>
      <c r="BW46" s="1">
        <f t="shared" si="37"/>
        <v>2.0393811533052042</v>
      </c>
      <c r="BX46" s="1">
        <f t="shared" si="14"/>
        <v>0.96511627906976749</v>
      </c>
      <c r="BY46" s="1">
        <f t="shared" si="18"/>
        <v>0.82857142857142863</v>
      </c>
      <c r="BZ46" s="34"/>
      <c r="CA46" s="34"/>
      <c r="CB46" s="34"/>
      <c r="CC46" s="34"/>
      <c r="CD46" s="34"/>
      <c r="CE46" s="34"/>
      <c r="CF46" s="34"/>
      <c r="CG46" s="34"/>
    </row>
    <row r="47" spans="1:85" ht="14.25" customHeight="1" thickBot="1">
      <c r="A47" s="22" t="s">
        <v>141</v>
      </c>
      <c r="B47" s="2">
        <v>71</v>
      </c>
      <c r="C47" s="2" t="s">
        <v>78</v>
      </c>
      <c r="D47" s="25" t="s">
        <v>84</v>
      </c>
      <c r="E47" s="2" t="s">
        <v>131</v>
      </c>
      <c r="F47" s="9">
        <v>39110</v>
      </c>
      <c r="G47" s="12" t="s">
        <v>122</v>
      </c>
      <c r="H47" s="8">
        <v>19</v>
      </c>
      <c r="I47" s="2">
        <v>92.5</v>
      </c>
      <c r="J47" s="2">
        <v>192</v>
      </c>
      <c r="K47" s="1"/>
      <c r="L47" s="1"/>
      <c r="M47" s="9" t="s">
        <v>166</v>
      </c>
      <c r="N47" s="2">
        <v>1497</v>
      </c>
      <c r="O47" s="2">
        <v>46.3</v>
      </c>
      <c r="P47" s="2">
        <v>49.7</v>
      </c>
      <c r="Q47" s="2">
        <v>11.5</v>
      </c>
      <c r="R47" s="2">
        <v>10.5</v>
      </c>
      <c r="S47" s="2">
        <v>8.5</v>
      </c>
      <c r="T47" s="2">
        <v>8.8000000000000007</v>
      </c>
      <c r="U47" s="2">
        <v>41</v>
      </c>
      <c r="V47" s="2">
        <v>43.2</v>
      </c>
      <c r="W47" s="2">
        <v>27.9</v>
      </c>
      <c r="X47" s="2">
        <v>30.4</v>
      </c>
      <c r="Y47" s="1">
        <f t="shared" si="30"/>
        <v>84.2</v>
      </c>
      <c r="Z47" s="1">
        <f t="shared" si="31"/>
        <v>58.3</v>
      </c>
      <c r="AA47" s="1">
        <f t="shared" si="32"/>
        <v>1.4442538593481991</v>
      </c>
      <c r="AB47" s="2">
        <v>16</v>
      </c>
      <c r="AC47" s="2">
        <v>15</v>
      </c>
      <c r="AD47" s="2">
        <v>10</v>
      </c>
      <c r="AE47" s="2">
        <v>10.5</v>
      </c>
      <c r="AF47" s="2">
        <v>23</v>
      </c>
      <c r="AG47" s="1"/>
      <c r="AH47" s="1">
        <f t="shared" si="33"/>
        <v>0</v>
      </c>
      <c r="AI47" s="1"/>
      <c r="AJ47" s="1">
        <f t="shared" si="34"/>
        <v>0</v>
      </c>
      <c r="AK47" s="1"/>
      <c r="AL47" s="1"/>
      <c r="AM47" s="2">
        <v>39.200000000000003</v>
      </c>
      <c r="AN47" s="2">
        <v>2439</v>
      </c>
      <c r="AO47" s="2">
        <v>21430</v>
      </c>
      <c r="AP47" s="2">
        <v>2.2599999999999998</v>
      </c>
      <c r="AQ47" s="1"/>
      <c r="AR47" s="1"/>
      <c r="AS47" s="1"/>
      <c r="AT47" s="1"/>
      <c r="AU47" s="2">
        <v>17</v>
      </c>
      <c r="AV47" s="1"/>
      <c r="AW47" s="1"/>
      <c r="AX47" s="1"/>
      <c r="AY47" s="1"/>
      <c r="AZ47" s="1"/>
      <c r="BA47" s="1"/>
      <c r="BB47" s="1"/>
      <c r="BC47" s="1"/>
      <c r="BD47" s="1"/>
      <c r="BE47" s="1">
        <f t="shared" si="16"/>
        <v>0</v>
      </c>
      <c r="BF47" s="2">
        <v>265</v>
      </c>
      <c r="BG47" s="1">
        <f t="shared" si="5"/>
        <v>2.8648648648648649</v>
      </c>
      <c r="BH47" s="2">
        <v>169</v>
      </c>
      <c r="BI47" s="1">
        <f t="shared" si="6"/>
        <v>1.827027027027027</v>
      </c>
      <c r="BJ47" s="2">
        <v>165</v>
      </c>
      <c r="BK47" s="1">
        <f t="shared" si="7"/>
        <v>1.7837837837837838</v>
      </c>
      <c r="BL47" s="2">
        <v>210</v>
      </c>
      <c r="BM47" s="1">
        <f t="shared" si="8"/>
        <v>2.2702702702702702</v>
      </c>
      <c r="BN47" s="2">
        <v>180</v>
      </c>
      <c r="BO47" s="1">
        <f t="shared" si="9"/>
        <v>1.9459459459459461</v>
      </c>
      <c r="BP47" s="2">
        <v>190</v>
      </c>
      <c r="BQ47" s="1">
        <f t="shared" si="10"/>
        <v>2.0540540540540539</v>
      </c>
      <c r="BR47" s="2">
        <v>167</v>
      </c>
      <c r="BS47" s="1">
        <f t="shared" si="11"/>
        <v>1.8054054054054054</v>
      </c>
      <c r="BT47" s="2">
        <v>254</v>
      </c>
      <c r="BU47" s="1">
        <f t="shared" si="12"/>
        <v>2.7459459459459459</v>
      </c>
      <c r="BV47" s="2">
        <v>251</v>
      </c>
      <c r="BW47" s="1">
        <f t="shared" si="37"/>
        <v>2.7135135135135133</v>
      </c>
      <c r="BX47" s="1">
        <f t="shared" si="14"/>
        <v>1.5029585798816567</v>
      </c>
      <c r="BY47" s="1">
        <f t="shared" si="18"/>
        <v>1.5212121212121212</v>
      </c>
      <c r="BZ47" s="32"/>
      <c r="CA47" s="32"/>
      <c r="CB47" s="32"/>
      <c r="CC47" s="32"/>
      <c r="CD47" s="32"/>
      <c r="CE47" s="32"/>
      <c r="CF47" s="32"/>
      <c r="CG47" s="32"/>
    </row>
    <row r="48" spans="1:85" ht="14.25" customHeight="1" thickBot="1">
      <c r="A48" s="22" t="s">
        <v>142</v>
      </c>
      <c r="B48" s="2">
        <v>82</v>
      </c>
      <c r="C48" s="2" t="s">
        <v>83</v>
      </c>
      <c r="D48" s="10" t="s">
        <v>84</v>
      </c>
      <c r="E48" s="2" t="s">
        <v>87</v>
      </c>
      <c r="F48" s="9">
        <v>39256</v>
      </c>
      <c r="G48" s="8" t="s">
        <v>122</v>
      </c>
      <c r="H48" s="14">
        <v>19</v>
      </c>
      <c r="I48" s="2">
        <v>65.400000000000006</v>
      </c>
      <c r="J48" s="2">
        <v>169</v>
      </c>
      <c r="K48" s="1"/>
      <c r="L48" s="1"/>
      <c r="M48" s="9" t="s">
        <v>166</v>
      </c>
      <c r="N48" s="2">
        <v>1164</v>
      </c>
      <c r="O48" s="2">
        <v>28.6</v>
      </c>
      <c r="P48" s="2">
        <v>31.3</v>
      </c>
      <c r="Q48" s="2">
        <v>8.5</v>
      </c>
      <c r="R48" s="2">
        <v>7.7</v>
      </c>
      <c r="S48" s="2">
        <v>7.6</v>
      </c>
      <c r="T48" s="2">
        <v>8.4</v>
      </c>
      <c r="U48" s="2">
        <v>23.4</v>
      </c>
      <c r="V48" s="2">
        <v>22.4</v>
      </c>
      <c r="W48" s="2">
        <v>15.5</v>
      </c>
      <c r="X48" s="2">
        <v>18.600000000000001</v>
      </c>
      <c r="Y48" s="1">
        <f t="shared" si="30"/>
        <v>45.8</v>
      </c>
      <c r="Z48" s="1">
        <f t="shared" si="31"/>
        <v>34.1</v>
      </c>
      <c r="AA48" s="1">
        <f t="shared" si="32"/>
        <v>1.3431085043988269</v>
      </c>
      <c r="AB48" s="2">
        <v>12</v>
      </c>
      <c r="AC48" s="2">
        <v>12</v>
      </c>
      <c r="AD48" s="2">
        <v>9</v>
      </c>
      <c r="AE48" s="2">
        <v>9</v>
      </c>
      <c r="AF48" s="2">
        <v>35</v>
      </c>
      <c r="AG48" s="1"/>
      <c r="AH48" s="1">
        <f t="shared" si="33"/>
        <v>0</v>
      </c>
      <c r="AI48" s="1"/>
      <c r="AJ48" s="1">
        <f t="shared" si="34"/>
        <v>0</v>
      </c>
      <c r="AK48" s="1"/>
      <c r="AL48" s="1"/>
      <c r="AM48" s="2">
        <v>41.4</v>
      </c>
      <c r="AN48" s="2">
        <v>1569</v>
      </c>
      <c r="AO48" s="2">
        <v>8108</v>
      </c>
      <c r="AP48" s="2">
        <v>2.4700000000000002</v>
      </c>
      <c r="AQ48" s="1"/>
      <c r="AR48" s="1"/>
      <c r="AS48" s="1"/>
      <c r="AT48" s="1"/>
      <c r="AU48" s="2">
        <v>15.5</v>
      </c>
      <c r="AV48" s="1"/>
      <c r="AW48" s="1"/>
      <c r="AX48" s="1"/>
      <c r="AY48" s="1"/>
      <c r="AZ48" s="1"/>
      <c r="BA48" s="1"/>
      <c r="BB48" s="1"/>
      <c r="BC48" s="1"/>
      <c r="BD48" s="2">
        <v>225</v>
      </c>
      <c r="BE48" s="1">
        <f t="shared" si="16"/>
        <v>3.4403669724770638</v>
      </c>
      <c r="BF48" s="2">
        <v>236</v>
      </c>
      <c r="BG48" s="1">
        <f t="shared" si="5"/>
        <v>3.6085626911314983</v>
      </c>
      <c r="BH48" s="2">
        <v>153</v>
      </c>
      <c r="BI48" s="1">
        <f t="shared" si="6"/>
        <v>2.3394495412844036</v>
      </c>
      <c r="BJ48" s="2">
        <v>145</v>
      </c>
      <c r="BK48" s="1">
        <f t="shared" si="7"/>
        <v>2.2171253822629966</v>
      </c>
      <c r="BL48" s="2">
        <v>129</v>
      </c>
      <c r="BM48" s="1">
        <f t="shared" si="8"/>
        <v>1.9724770642201832</v>
      </c>
      <c r="BN48" s="2">
        <v>140</v>
      </c>
      <c r="BO48" s="1">
        <f t="shared" si="9"/>
        <v>2.1406727828746175</v>
      </c>
      <c r="BP48" s="2">
        <v>99</v>
      </c>
      <c r="BQ48" s="1">
        <f t="shared" si="10"/>
        <v>1.5137614678899081</v>
      </c>
      <c r="BR48" s="2">
        <v>108</v>
      </c>
      <c r="BS48" s="1">
        <f t="shared" si="11"/>
        <v>1.6513761467889907</v>
      </c>
      <c r="BT48" s="2">
        <v>125</v>
      </c>
      <c r="BU48" s="1">
        <f t="shared" si="12"/>
        <v>1.9113149847094799</v>
      </c>
      <c r="BV48" s="2">
        <v>129</v>
      </c>
      <c r="BW48" s="1">
        <f t="shared" si="37"/>
        <v>1.9724770642201832</v>
      </c>
      <c r="BX48" s="1">
        <f t="shared" si="14"/>
        <v>0.81699346405228757</v>
      </c>
      <c r="BY48" s="1">
        <f t="shared" si="18"/>
        <v>0.8896551724137931</v>
      </c>
      <c r="BZ48" s="34"/>
      <c r="CA48" s="34"/>
      <c r="CB48" s="34"/>
      <c r="CC48" s="34"/>
      <c r="CD48" s="34"/>
      <c r="CE48" s="34"/>
      <c r="CF48" s="34"/>
      <c r="CG48" s="34"/>
    </row>
    <row r="49" spans="1:85" ht="14.25" customHeight="1" thickBot="1">
      <c r="A49" s="22" t="s">
        <v>143</v>
      </c>
      <c r="B49" s="2">
        <v>75</v>
      </c>
      <c r="C49" s="2" t="s">
        <v>83</v>
      </c>
      <c r="D49" s="10" t="s">
        <v>84</v>
      </c>
      <c r="E49" s="2" t="s">
        <v>131</v>
      </c>
      <c r="F49" s="9">
        <v>39139</v>
      </c>
      <c r="G49" s="12" t="s">
        <v>122</v>
      </c>
      <c r="H49" s="20">
        <v>19</v>
      </c>
      <c r="I49" s="2">
        <v>86</v>
      </c>
      <c r="J49" s="2">
        <v>193</v>
      </c>
      <c r="K49" s="1"/>
      <c r="L49" s="9">
        <v>46199</v>
      </c>
      <c r="M49" s="9" t="s">
        <v>166</v>
      </c>
      <c r="N49" s="2">
        <v>1298</v>
      </c>
      <c r="O49" s="2">
        <v>43</v>
      </c>
      <c r="P49" s="2">
        <v>40.5</v>
      </c>
      <c r="Q49" s="2">
        <v>9.1999999999999993</v>
      </c>
      <c r="R49" s="2">
        <v>11.2</v>
      </c>
      <c r="S49" s="2">
        <v>11.9</v>
      </c>
      <c r="T49" s="2">
        <v>14.1</v>
      </c>
      <c r="U49" s="2">
        <v>35.799999999999997</v>
      </c>
      <c r="V49" s="2">
        <v>38.9</v>
      </c>
      <c r="W49" s="2">
        <v>27.5</v>
      </c>
      <c r="X49" s="2" t="s">
        <v>144</v>
      </c>
      <c r="Y49" s="1">
        <f t="shared" si="30"/>
        <v>74.699999999999989</v>
      </c>
      <c r="Z49" s="1" t="e">
        <f t="shared" si="31"/>
        <v>#VALUE!</v>
      </c>
      <c r="AA49" s="1" t="e">
        <f t="shared" si="32"/>
        <v>#VALUE!</v>
      </c>
      <c r="AB49" s="2">
        <v>14</v>
      </c>
      <c r="AC49" s="2">
        <v>14</v>
      </c>
      <c r="AD49" s="2">
        <v>14</v>
      </c>
      <c r="AE49" s="2">
        <v>14</v>
      </c>
      <c r="AF49" s="2">
        <v>23</v>
      </c>
      <c r="AG49" s="1"/>
      <c r="AH49" s="1">
        <f t="shared" si="33"/>
        <v>0</v>
      </c>
      <c r="AI49" s="1"/>
      <c r="AJ49" s="1">
        <f t="shared" si="34"/>
        <v>0</v>
      </c>
      <c r="AK49" s="1"/>
      <c r="AL49" s="1"/>
      <c r="AM49" s="2">
        <v>42.7</v>
      </c>
      <c r="AN49" s="2">
        <v>2439</v>
      </c>
      <c r="AO49" s="2">
        <v>18011</v>
      </c>
      <c r="AP49" s="2">
        <v>2.21</v>
      </c>
      <c r="AQ49" s="1"/>
      <c r="AR49" s="1"/>
      <c r="AS49" s="1"/>
      <c r="AT49" s="1"/>
      <c r="AU49" s="2">
        <v>17.5</v>
      </c>
      <c r="AV49" s="1"/>
      <c r="AW49" s="1"/>
      <c r="AX49" s="1"/>
      <c r="AY49" s="1"/>
      <c r="AZ49" s="1"/>
      <c r="BA49" s="1"/>
      <c r="BB49" s="1"/>
      <c r="BC49" s="1"/>
      <c r="BD49" s="2">
        <v>187</v>
      </c>
      <c r="BE49" s="1">
        <f t="shared" si="16"/>
        <v>2.1744186046511627</v>
      </c>
      <c r="BF49" s="2">
        <v>245</v>
      </c>
      <c r="BG49" s="1">
        <f t="shared" si="5"/>
        <v>2.8488372093023258</v>
      </c>
      <c r="BH49" s="2">
        <v>141</v>
      </c>
      <c r="BI49" s="1">
        <f t="shared" si="6"/>
        <v>1.6395348837209303</v>
      </c>
      <c r="BJ49" s="2">
        <v>178</v>
      </c>
      <c r="BK49" s="1">
        <f t="shared" si="7"/>
        <v>2.0697674418604652</v>
      </c>
      <c r="BL49" s="2">
        <v>155</v>
      </c>
      <c r="BM49" s="1">
        <f t="shared" si="8"/>
        <v>1.8023255813953489</v>
      </c>
      <c r="BN49" s="2">
        <v>171</v>
      </c>
      <c r="BO49" s="1">
        <f t="shared" si="9"/>
        <v>1.9883720930232558</v>
      </c>
      <c r="BP49" s="2">
        <v>102</v>
      </c>
      <c r="BQ49" s="1">
        <f t="shared" si="10"/>
        <v>1.1860465116279071</v>
      </c>
      <c r="BR49" s="2">
        <v>131</v>
      </c>
      <c r="BS49" s="1">
        <f t="shared" si="11"/>
        <v>1.5232558139534884</v>
      </c>
      <c r="BT49" s="2">
        <v>221</v>
      </c>
      <c r="BU49" s="1">
        <f t="shared" si="12"/>
        <v>2.5697674418604652</v>
      </c>
      <c r="BV49" s="2">
        <v>236</v>
      </c>
      <c r="BW49" s="1">
        <f t="shared" si="37"/>
        <v>2.7441860465116279</v>
      </c>
      <c r="BX49" s="1">
        <f t="shared" si="14"/>
        <v>1.5673758865248226</v>
      </c>
      <c r="BY49" s="1">
        <f t="shared" si="18"/>
        <v>1.3258426966292134</v>
      </c>
      <c r="BZ49" s="32"/>
      <c r="CA49" s="32"/>
      <c r="CB49" s="32"/>
      <c r="CC49" s="32"/>
      <c r="CD49" s="32"/>
      <c r="CE49" s="32"/>
      <c r="CF49" s="32"/>
      <c r="CG49" s="32"/>
    </row>
    <row r="50" spans="1:85" ht="14.25" customHeight="1" thickBot="1">
      <c r="A50" s="22" t="s">
        <v>145</v>
      </c>
      <c r="B50" s="2">
        <v>81</v>
      </c>
      <c r="C50" s="2" t="s">
        <v>83</v>
      </c>
      <c r="D50" s="6" t="s">
        <v>93</v>
      </c>
      <c r="E50" s="2" t="s">
        <v>94</v>
      </c>
      <c r="F50" s="21">
        <v>39409</v>
      </c>
      <c r="G50" s="8" t="s">
        <v>122</v>
      </c>
      <c r="H50" s="14">
        <v>19</v>
      </c>
      <c r="I50" s="2">
        <v>79</v>
      </c>
      <c r="J50" s="2">
        <v>182.5</v>
      </c>
      <c r="K50" s="1"/>
      <c r="L50" s="1"/>
      <c r="M50" s="9" t="s">
        <v>166</v>
      </c>
      <c r="N50" s="1"/>
      <c r="O50" s="1"/>
      <c r="P50" s="1"/>
      <c r="Q50" s="2">
        <v>10.9</v>
      </c>
      <c r="R50" s="2">
        <v>9.4</v>
      </c>
      <c r="S50" s="2">
        <v>10.8</v>
      </c>
      <c r="T50" s="2">
        <v>9.8000000000000007</v>
      </c>
      <c r="U50" s="2">
        <v>20.8</v>
      </c>
      <c r="V50" s="2">
        <v>21.7</v>
      </c>
      <c r="W50" s="2">
        <v>22.8</v>
      </c>
      <c r="X50" s="2">
        <v>24.1</v>
      </c>
      <c r="Y50" s="1">
        <f t="shared" si="30"/>
        <v>42.5</v>
      </c>
      <c r="Z50" s="1">
        <f t="shared" si="31"/>
        <v>46.900000000000006</v>
      </c>
      <c r="AA50" s="1">
        <f t="shared" si="32"/>
        <v>0.90618336886993589</v>
      </c>
      <c r="AB50" s="2">
        <v>19</v>
      </c>
      <c r="AC50" s="2">
        <v>18</v>
      </c>
      <c r="AD50" s="2">
        <v>7</v>
      </c>
      <c r="AE50" s="2">
        <v>9</v>
      </c>
      <c r="AF50" s="2">
        <v>40</v>
      </c>
      <c r="AG50" s="1"/>
      <c r="AH50" s="1">
        <f t="shared" si="33"/>
        <v>0</v>
      </c>
      <c r="AI50" s="1"/>
      <c r="AJ50" s="1">
        <f t="shared" si="34"/>
        <v>0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2">
        <v>113</v>
      </c>
      <c r="BE50" s="1">
        <f t="shared" si="16"/>
        <v>1.4303797468354431</v>
      </c>
      <c r="BF50" s="2">
        <v>254</v>
      </c>
      <c r="BG50" s="1">
        <f t="shared" si="5"/>
        <v>3.2151898734177213</v>
      </c>
      <c r="BH50" s="2">
        <v>82</v>
      </c>
      <c r="BI50" s="1">
        <f t="shared" si="6"/>
        <v>1.0379746835443038</v>
      </c>
      <c r="BJ50" s="2">
        <v>192</v>
      </c>
      <c r="BK50" s="1">
        <f t="shared" si="7"/>
        <v>2.4303797468354431</v>
      </c>
      <c r="BL50" s="2">
        <v>180</v>
      </c>
      <c r="BM50" s="1">
        <f t="shared" si="8"/>
        <v>2.278481012658228</v>
      </c>
      <c r="BN50" s="2">
        <v>170</v>
      </c>
      <c r="BO50" s="1">
        <f t="shared" si="9"/>
        <v>2.1518987341772151</v>
      </c>
      <c r="BP50" s="2">
        <v>171</v>
      </c>
      <c r="BQ50" s="1">
        <f t="shared" si="10"/>
        <v>2.1645569620253164</v>
      </c>
      <c r="BR50" s="2">
        <v>142</v>
      </c>
      <c r="BS50" s="1">
        <f t="shared" si="11"/>
        <v>1.7974683544303798</v>
      </c>
      <c r="BT50" s="2">
        <v>230</v>
      </c>
      <c r="BU50" s="1">
        <f t="shared" si="12"/>
        <v>2.9113924050632911</v>
      </c>
      <c r="BV50" s="2">
        <v>213</v>
      </c>
      <c r="BW50" s="1">
        <f t="shared" si="37"/>
        <v>2.6962025316455698</v>
      </c>
      <c r="BX50" s="1">
        <f t="shared" si="14"/>
        <v>2.8048780487804876</v>
      </c>
      <c r="BY50" s="1">
        <f t="shared" si="18"/>
        <v>1.109375</v>
      </c>
      <c r="BZ50" s="34"/>
      <c r="CA50" s="34"/>
      <c r="CB50" s="34"/>
      <c r="CC50" s="34"/>
      <c r="CD50" s="34"/>
      <c r="CE50" s="34"/>
      <c r="CF50" s="34"/>
      <c r="CG50" s="34"/>
    </row>
    <row r="51" spans="1:85" ht="14.25" customHeight="1" thickBot="1">
      <c r="A51" s="22" t="s">
        <v>146</v>
      </c>
      <c r="B51" s="2">
        <v>47</v>
      </c>
      <c r="C51" s="2" t="s">
        <v>83</v>
      </c>
      <c r="D51" s="10" t="s">
        <v>79</v>
      </c>
      <c r="E51" s="2" t="s">
        <v>104</v>
      </c>
      <c r="F51" s="9">
        <v>39641</v>
      </c>
      <c r="G51" s="12" t="s">
        <v>147</v>
      </c>
      <c r="H51" s="20">
        <v>18</v>
      </c>
      <c r="I51" s="2">
        <v>72.3</v>
      </c>
      <c r="J51" s="2">
        <v>185</v>
      </c>
      <c r="K51" s="1"/>
      <c r="L51" s="9">
        <v>46202</v>
      </c>
      <c r="M51" s="9" t="s">
        <v>166</v>
      </c>
      <c r="N51" s="2">
        <v>1027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>
        <f t="shared" si="30"/>
        <v>0</v>
      </c>
      <c r="Z51" s="1">
        <f t="shared" si="31"/>
        <v>0</v>
      </c>
      <c r="AA51" s="1" t="e">
        <f t="shared" si="32"/>
        <v>#DIV/0!</v>
      </c>
      <c r="AB51" s="1"/>
      <c r="AC51" s="1"/>
      <c r="AD51" s="1"/>
      <c r="AE51" s="1"/>
      <c r="AF51" s="1"/>
      <c r="AG51" s="1"/>
      <c r="AH51" s="1">
        <f t="shared" si="33"/>
        <v>0</v>
      </c>
      <c r="AI51" s="1"/>
      <c r="AJ51" s="1">
        <f t="shared" si="34"/>
        <v>0</v>
      </c>
      <c r="AK51" s="1"/>
      <c r="AL51" s="1"/>
      <c r="AM51" s="2">
        <v>38.4</v>
      </c>
      <c r="AN51" s="2">
        <v>1785</v>
      </c>
      <c r="AO51" s="2">
        <v>8941</v>
      </c>
      <c r="AP51" s="1"/>
      <c r="AQ51" s="1"/>
      <c r="AR51" s="1"/>
      <c r="AS51" s="1"/>
      <c r="AT51" s="1"/>
      <c r="AU51" s="2">
        <v>19</v>
      </c>
      <c r="AV51" s="1"/>
      <c r="AW51" s="1"/>
      <c r="AX51" s="1"/>
      <c r="AY51" s="1"/>
      <c r="AZ51" s="1"/>
      <c r="BA51" s="1"/>
      <c r="BB51" s="1"/>
      <c r="BC51" s="1"/>
      <c r="BD51" s="1"/>
      <c r="BE51" s="1">
        <f t="shared" si="16"/>
        <v>0</v>
      </c>
      <c r="BF51" s="1"/>
      <c r="BG51" s="1">
        <f t="shared" si="5"/>
        <v>0</v>
      </c>
      <c r="BH51" s="1"/>
      <c r="BI51" s="1">
        <f t="shared" si="6"/>
        <v>0</v>
      </c>
      <c r="BJ51" s="1"/>
      <c r="BK51" s="1">
        <f t="shared" si="7"/>
        <v>0</v>
      </c>
      <c r="BL51" s="1"/>
      <c r="BM51" s="1">
        <f t="shared" si="8"/>
        <v>0</v>
      </c>
      <c r="BN51" s="1"/>
      <c r="BO51" s="1">
        <f t="shared" si="9"/>
        <v>0</v>
      </c>
      <c r="BP51" s="1"/>
      <c r="BQ51" s="1">
        <f t="shared" si="10"/>
        <v>0</v>
      </c>
      <c r="BR51" s="1"/>
      <c r="BS51" s="1">
        <f t="shared" si="11"/>
        <v>0</v>
      </c>
      <c r="BT51" s="1"/>
      <c r="BU51" s="1">
        <f t="shared" si="12"/>
        <v>0</v>
      </c>
      <c r="BV51" s="1"/>
      <c r="BW51" s="1">
        <f t="shared" si="37"/>
        <v>0</v>
      </c>
      <c r="BX51" s="1" t="e">
        <f t="shared" si="14"/>
        <v>#DIV/0!</v>
      </c>
      <c r="BY51" s="1" t="e">
        <f t="shared" si="18"/>
        <v>#DIV/0!</v>
      </c>
      <c r="BZ51" s="32"/>
      <c r="CA51" s="32"/>
      <c r="CB51" s="32"/>
      <c r="CC51" s="32"/>
      <c r="CD51" s="32"/>
      <c r="CE51" s="32"/>
      <c r="CF51" s="32"/>
      <c r="CG51" s="32"/>
    </row>
    <row r="52" spans="1:85" ht="14.25" customHeight="1" thickBot="1">
      <c r="A52" s="22" t="s">
        <v>148</v>
      </c>
      <c r="B52" s="2">
        <v>58</v>
      </c>
      <c r="C52" s="2" t="s">
        <v>83</v>
      </c>
      <c r="D52" s="6" t="s">
        <v>93</v>
      </c>
      <c r="E52" s="2" t="s">
        <v>106</v>
      </c>
      <c r="F52" s="9">
        <v>39582</v>
      </c>
      <c r="G52" s="8" t="s">
        <v>147</v>
      </c>
      <c r="H52" s="12">
        <v>18</v>
      </c>
      <c r="I52" s="2">
        <v>67</v>
      </c>
      <c r="J52" s="2">
        <v>177.5</v>
      </c>
      <c r="K52" s="1"/>
      <c r="L52" s="9">
        <v>46202</v>
      </c>
      <c r="M52" s="9" t="s">
        <v>166</v>
      </c>
      <c r="N52" s="2">
        <v>961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30"/>
        <v>0</v>
      </c>
      <c r="Z52" s="1">
        <f t="shared" si="31"/>
        <v>0</v>
      </c>
      <c r="AA52" s="1" t="e">
        <f t="shared" si="32"/>
        <v>#DIV/0!</v>
      </c>
      <c r="AB52" s="1"/>
      <c r="AC52" s="1"/>
      <c r="AD52" s="1"/>
      <c r="AE52" s="1"/>
      <c r="AF52" s="1"/>
      <c r="AG52" s="1"/>
      <c r="AH52" s="1">
        <f t="shared" si="33"/>
        <v>0</v>
      </c>
      <c r="AI52" s="1"/>
      <c r="AJ52" s="1">
        <f t="shared" si="34"/>
        <v>0</v>
      </c>
      <c r="AK52" s="1"/>
      <c r="AL52" s="1"/>
      <c r="AM52" s="2">
        <v>37.4</v>
      </c>
      <c r="AN52" s="2">
        <v>1438</v>
      </c>
      <c r="AO52" s="2">
        <v>9762</v>
      </c>
      <c r="AP52" s="2">
        <v>3.07</v>
      </c>
      <c r="AQ52" s="1"/>
      <c r="AR52" s="1"/>
      <c r="AS52" s="1"/>
      <c r="AT52" s="1"/>
      <c r="AU52" s="2">
        <v>18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16"/>
        <v>0</v>
      </c>
      <c r="BF52" s="1"/>
      <c r="BG52" s="1">
        <f t="shared" si="5"/>
        <v>0</v>
      </c>
      <c r="BH52" s="1"/>
      <c r="BI52" s="1">
        <f t="shared" si="6"/>
        <v>0</v>
      </c>
      <c r="BJ52" s="1"/>
      <c r="BK52" s="1">
        <f t="shared" si="7"/>
        <v>0</v>
      </c>
      <c r="BL52" s="1"/>
      <c r="BM52" s="1">
        <f t="shared" si="8"/>
        <v>0</v>
      </c>
      <c r="BN52" s="1"/>
      <c r="BO52" s="1">
        <f t="shared" si="9"/>
        <v>0</v>
      </c>
      <c r="BP52" s="1"/>
      <c r="BQ52" s="1">
        <f t="shared" si="10"/>
        <v>0</v>
      </c>
      <c r="BR52" s="1"/>
      <c r="BS52" s="1">
        <f t="shared" si="11"/>
        <v>0</v>
      </c>
      <c r="BT52" s="1"/>
      <c r="BU52" s="1">
        <f t="shared" si="12"/>
        <v>0</v>
      </c>
      <c r="BV52" s="1"/>
      <c r="BW52" s="1">
        <f t="shared" si="37"/>
        <v>0</v>
      </c>
      <c r="BX52" s="1" t="e">
        <f t="shared" si="14"/>
        <v>#DIV/0!</v>
      </c>
      <c r="BY52" s="1" t="e">
        <f t="shared" si="18"/>
        <v>#DIV/0!</v>
      </c>
      <c r="BZ52" s="34"/>
      <c r="CA52" s="34"/>
      <c r="CB52" s="34"/>
      <c r="CC52" s="34"/>
      <c r="CD52" s="34"/>
      <c r="CE52" s="34"/>
      <c r="CF52" s="34"/>
      <c r="CG52" s="34"/>
    </row>
    <row r="53" spans="1:85" ht="14.25" customHeight="1" thickBot="1">
      <c r="A53" s="23" t="s">
        <v>149</v>
      </c>
      <c r="B53" s="2">
        <v>65</v>
      </c>
      <c r="C53" s="2" t="s">
        <v>83</v>
      </c>
      <c r="D53" s="10" t="s">
        <v>79</v>
      </c>
      <c r="E53" s="2" t="s">
        <v>80</v>
      </c>
      <c r="F53" s="9">
        <v>38159</v>
      </c>
      <c r="G53" s="12" t="s">
        <v>122</v>
      </c>
      <c r="H53" s="8">
        <v>22</v>
      </c>
      <c r="I53" s="2">
        <v>71.900000000000006</v>
      </c>
      <c r="J53" s="2">
        <v>176</v>
      </c>
      <c r="K53" s="1"/>
      <c r="L53" s="9">
        <v>46199</v>
      </c>
      <c r="M53" s="9" t="s">
        <v>166</v>
      </c>
      <c r="N53" s="2">
        <v>1085</v>
      </c>
      <c r="O53" s="2">
        <v>34.799999999999997</v>
      </c>
      <c r="P53" s="2">
        <v>37</v>
      </c>
      <c r="Q53" s="2">
        <v>11.2</v>
      </c>
      <c r="R53" s="2">
        <v>9.4</v>
      </c>
      <c r="S53" s="2">
        <v>10.199999999999999</v>
      </c>
      <c r="T53" s="2">
        <v>8.9</v>
      </c>
      <c r="U53" s="2">
        <v>26.7</v>
      </c>
      <c r="V53" s="2">
        <v>28.5</v>
      </c>
      <c r="W53" s="2">
        <v>25.9</v>
      </c>
      <c r="X53" s="2">
        <v>25.9</v>
      </c>
      <c r="Y53" s="1">
        <f t="shared" si="30"/>
        <v>55.2</v>
      </c>
      <c r="Z53" s="1">
        <f t="shared" si="31"/>
        <v>51.8</v>
      </c>
      <c r="AA53" s="1">
        <f t="shared" si="32"/>
        <v>1.0656370656370657</v>
      </c>
      <c r="AB53" s="2">
        <v>18</v>
      </c>
      <c r="AC53" s="2">
        <v>18</v>
      </c>
      <c r="AD53" s="1"/>
      <c r="AE53" s="1"/>
      <c r="AF53" s="1"/>
      <c r="AG53" s="1"/>
      <c r="AH53" s="1">
        <f t="shared" si="33"/>
        <v>0</v>
      </c>
      <c r="AI53" s="1"/>
      <c r="AJ53" s="1">
        <f t="shared" si="34"/>
        <v>0</v>
      </c>
      <c r="AK53" s="1"/>
      <c r="AL53" s="1"/>
      <c r="AM53" s="2">
        <v>44.2</v>
      </c>
      <c r="AN53" s="2">
        <v>2055</v>
      </c>
      <c r="AO53" s="2">
        <v>15972</v>
      </c>
      <c r="AP53" s="2">
        <v>3.37</v>
      </c>
      <c r="AQ53" s="1"/>
      <c r="AR53" s="1"/>
      <c r="AS53" s="1"/>
      <c r="AT53" s="1"/>
      <c r="AU53" s="2">
        <v>17</v>
      </c>
      <c r="AV53" s="1"/>
      <c r="AW53" s="1"/>
      <c r="AX53" s="1"/>
      <c r="AY53" s="1"/>
      <c r="AZ53" s="1"/>
      <c r="BA53" s="1"/>
      <c r="BB53" s="1"/>
      <c r="BC53" s="1"/>
      <c r="BD53" s="2">
        <v>214</v>
      </c>
      <c r="BE53" s="1">
        <f t="shared" si="16"/>
        <v>2.976356050069541</v>
      </c>
      <c r="BF53" s="2">
        <v>207</v>
      </c>
      <c r="BG53" s="1">
        <f t="shared" si="5"/>
        <v>2.8789986091794155</v>
      </c>
      <c r="BH53" s="2">
        <v>153</v>
      </c>
      <c r="BI53" s="1">
        <f t="shared" si="6"/>
        <v>2.127955493741307</v>
      </c>
      <c r="BJ53" s="2">
        <v>127</v>
      </c>
      <c r="BK53" s="1">
        <f t="shared" si="7"/>
        <v>1.7663421418636995</v>
      </c>
      <c r="BL53" s="2">
        <v>116</v>
      </c>
      <c r="BM53" s="1">
        <f t="shared" si="8"/>
        <v>1.6133518776077884</v>
      </c>
      <c r="BN53" s="2">
        <v>135</v>
      </c>
      <c r="BO53" s="1">
        <f t="shared" si="9"/>
        <v>1.8776077885952711</v>
      </c>
      <c r="BP53" s="2">
        <v>96</v>
      </c>
      <c r="BQ53" s="1">
        <f t="shared" si="10"/>
        <v>1.3351877607788594</v>
      </c>
      <c r="BR53" s="2">
        <v>104</v>
      </c>
      <c r="BS53" s="1">
        <f t="shared" si="11"/>
        <v>1.4464534075104309</v>
      </c>
      <c r="BT53" s="2">
        <v>118</v>
      </c>
      <c r="BU53" s="1">
        <f t="shared" si="12"/>
        <v>1.6411682892906814</v>
      </c>
      <c r="BV53" s="2">
        <v>119</v>
      </c>
      <c r="BW53" s="1">
        <f>BV52/I53</f>
        <v>0</v>
      </c>
      <c r="BX53" s="1">
        <f t="shared" si="14"/>
        <v>0.77124183006535951</v>
      </c>
      <c r="BY53" s="1">
        <f t="shared" si="18"/>
        <v>0.93700787401574803</v>
      </c>
      <c r="BZ53" s="32"/>
      <c r="CA53" s="32"/>
      <c r="CB53" s="32"/>
      <c r="CC53" s="32"/>
      <c r="CD53" s="32"/>
      <c r="CE53" s="32"/>
      <c r="CF53" s="32"/>
      <c r="CG53" s="32"/>
    </row>
    <row r="54" spans="1:85" ht="14.25" customHeight="1" thickBot="1">
      <c r="A54" s="22" t="s">
        <v>150</v>
      </c>
      <c r="B54" s="2">
        <v>57</v>
      </c>
      <c r="C54" s="2" t="s">
        <v>78</v>
      </c>
      <c r="D54" s="10" t="s">
        <v>84</v>
      </c>
      <c r="E54" s="2" t="s">
        <v>131</v>
      </c>
      <c r="F54" s="9">
        <v>39636</v>
      </c>
      <c r="G54" s="8" t="s">
        <v>147</v>
      </c>
      <c r="H54" s="12">
        <v>18</v>
      </c>
      <c r="I54" s="2">
        <v>71</v>
      </c>
      <c r="J54" s="2">
        <v>175</v>
      </c>
      <c r="K54" s="1"/>
      <c r="L54" s="9">
        <v>46202</v>
      </c>
      <c r="M54" s="9" t="s">
        <v>166</v>
      </c>
      <c r="N54" s="2">
        <v>926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>
        <f t="shared" si="30"/>
        <v>0</v>
      </c>
      <c r="Z54" s="1">
        <f t="shared" si="31"/>
        <v>0</v>
      </c>
      <c r="AA54" s="1" t="e">
        <f t="shared" si="32"/>
        <v>#DIV/0!</v>
      </c>
      <c r="AB54" s="1"/>
      <c r="AC54" s="1"/>
      <c r="AD54" s="1"/>
      <c r="AE54" s="1"/>
      <c r="AF54" s="1"/>
      <c r="AG54" s="1"/>
      <c r="AH54" s="1">
        <f t="shared" si="33"/>
        <v>0</v>
      </c>
      <c r="AI54" s="1"/>
      <c r="AJ54" s="1">
        <f t="shared" si="34"/>
        <v>0</v>
      </c>
      <c r="AK54" s="1"/>
      <c r="AL54" s="1"/>
      <c r="AM54" s="2">
        <v>38</v>
      </c>
      <c r="AN54" s="2">
        <v>1805</v>
      </c>
      <c r="AO54" s="2">
        <v>11450</v>
      </c>
      <c r="AP54" s="2">
        <v>2.69</v>
      </c>
      <c r="AQ54" s="1"/>
      <c r="AR54" s="1"/>
      <c r="AS54" s="1"/>
      <c r="AT54" s="1"/>
      <c r="AU54" s="2">
        <v>18</v>
      </c>
      <c r="AV54" s="1"/>
      <c r="AW54" s="1"/>
      <c r="AX54" s="1"/>
      <c r="AY54" s="1"/>
      <c r="AZ54" s="1"/>
      <c r="BA54" s="1"/>
      <c r="BB54" s="1"/>
      <c r="BC54" s="1"/>
      <c r="BD54" s="1"/>
      <c r="BE54" s="1">
        <f t="shared" si="16"/>
        <v>0</v>
      </c>
      <c r="BF54" s="1"/>
      <c r="BG54" s="1">
        <f t="shared" si="5"/>
        <v>0</v>
      </c>
      <c r="BH54" s="1"/>
      <c r="BI54" s="1">
        <f t="shared" si="6"/>
        <v>0</v>
      </c>
      <c r="BJ54" s="1"/>
      <c r="BK54" s="1">
        <f t="shared" si="7"/>
        <v>0</v>
      </c>
      <c r="BL54" s="1"/>
      <c r="BM54" s="1">
        <f t="shared" si="8"/>
        <v>0</v>
      </c>
      <c r="BN54" s="1"/>
      <c r="BO54" s="1">
        <f t="shared" si="9"/>
        <v>0</v>
      </c>
      <c r="BP54" s="1"/>
      <c r="BQ54" s="1">
        <f t="shared" si="10"/>
        <v>0</v>
      </c>
      <c r="BR54" s="1"/>
      <c r="BS54" s="1">
        <f t="shared" si="11"/>
        <v>0</v>
      </c>
      <c r="BT54" s="1"/>
      <c r="BU54" s="1">
        <f t="shared" si="12"/>
        <v>0</v>
      </c>
      <c r="BV54" s="1"/>
      <c r="BW54" s="1">
        <f t="shared" ref="BW54:BW62" si="38">BV54/I54</f>
        <v>0</v>
      </c>
      <c r="BX54" s="1" t="e">
        <f t="shared" si="14"/>
        <v>#DIV/0!</v>
      </c>
      <c r="BY54" s="1" t="e">
        <f t="shared" si="18"/>
        <v>#DIV/0!</v>
      </c>
      <c r="BZ54" s="34"/>
      <c r="CA54" s="34"/>
      <c r="CB54" s="34"/>
      <c r="CC54" s="34"/>
      <c r="CD54" s="34"/>
      <c r="CE54" s="34"/>
      <c r="CF54" s="34"/>
      <c r="CG54" s="34"/>
    </row>
    <row r="55" spans="1:85" ht="14.25" customHeight="1" thickBot="1">
      <c r="A55" s="23" t="s">
        <v>151</v>
      </c>
      <c r="B55" s="2">
        <v>45</v>
      </c>
      <c r="C55" s="2" t="s">
        <v>83</v>
      </c>
      <c r="D55" s="6" t="s">
        <v>93</v>
      </c>
      <c r="E55" s="2" t="s">
        <v>106</v>
      </c>
      <c r="F55" s="9">
        <v>40213</v>
      </c>
      <c r="G55" s="12" t="s">
        <v>147</v>
      </c>
      <c r="H55" s="20">
        <v>16</v>
      </c>
      <c r="I55" s="2">
        <v>74.5</v>
      </c>
      <c r="J55" s="2">
        <v>184</v>
      </c>
      <c r="K55" s="1"/>
      <c r="L55" s="1"/>
      <c r="M55" s="9" t="s">
        <v>166</v>
      </c>
      <c r="N55" s="2">
        <v>1080</v>
      </c>
      <c r="O55" s="2">
        <v>34.9</v>
      </c>
      <c r="P55" s="2">
        <v>35.9</v>
      </c>
      <c r="Q55" s="2">
        <v>10.3</v>
      </c>
      <c r="R55" s="2">
        <v>8</v>
      </c>
      <c r="S55" s="2">
        <v>12.4</v>
      </c>
      <c r="T55" s="2">
        <v>11.5</v>
      </c>
      <c r="U55" s="2">
        <v>31.4</v>
      </c>
      <c r="V55" s="2">
        <v>30.6</v>
      </c>
      <c r="W55" s="2">
        <v>16.100000000000001</v>
      </c>
      <c r="X55" s="2">
        <v>16.100000000000001</v>
      </c>
      <c r="Y55" s="1">
        <f t="shared" si="30"/>
        <v>62</v>
      </c>
      <c r="Z55" s="1">
        <f t="shared" si="31"/>
        <v>32.200000000000003</v>
      </c>
      <c r="AA55" s="1">
        <f t="shared" si="32"/>
        <v>1.9254658385093166</v>
      </c>
      <c r="AB55" s="2">
        <v>15</v>
      </c>
      <c r="AC55" s="2">
        <v>17</v>
      </c>
      <c r="AD55" s="2">
        <v>12</v>
      </c>
      <c r="AE55" s="2">
        <v>15</v>
      </c>
      <c r="AF55" s="2">
        <v>31.5</v>
      </c>
      <c r="AG55" s="1"/>
      <c r="AH55" s="1">
        <f t="shared" si="33"/>
        <v>0</v>
      </c>
      <c r="AI55" s="1"/>
      <c r="AJ55" s="1">
        <f t="shared" si="34"/>
        <v>0</v>
      </c>
      <c r="AK55" s="1"/>
      <c r="AL55" s="1"/>
      <c r="AM55" s="2">
        <v>30</v>
      </c>
      <c r="AN55" s="2">
        <v>1885</v>
      </c>
      <c r="AO55" s="2">
        <v>12456</v>
      </c>
      <c r="AP55" s="2">
        <v>2.58</v>
      </c>
      <c r="AQ55" s="1"/>
      <c r="AR55" s="1"/>
      <c r="AS55" s="1"/>
      <c r="AT55" s="1"/>
      <c r="AU55" s="2">
        <v>17.5</v>
      </c>
      <c r="AV55" s="1"/>
      <c r="AW55" s="1"/>
      <c r="AX55" s="1"/>
      <c r="AY55" s="1"/>
      <c r="AZ55" s="1"/>
      <c r="BA55" s="1"/>
      <c r="BB55" s="1"/>
      <c r="BC55" s="1"/>
      <c r="BD55" s="2">
        <v>232</v>
      </c>
      <c r="BE55" s="1">
        <f t="shared" si="16"/>
        <v>3.1140939597315436</v>
      </c>
      <c r="BF55" s="2">
        <v>279</v>
      </c>
      <c r="BG55" s="1">
        <f t="shared" si="5"/>
        <v>3.7449664429530203</v>
      </c>
      <c r="BH55" s="2">
        <v>131</v>
      </c>
      <c r="BI55" s="1">
        <f t="shared" si="6"/>
        <v>1.7583892617449663</v>
      </c>
      <c r="BJ55" s="2">
        <v>171</v>
      </c>
      <c r="BK55" s="1">
        <f t="shared" si="7"/>
        <v>2.2953020134228188</v>
      </c>
      <c r="BL55" s="2">
        <v>142</v>
      </c>
      <c r="BM55" s="1">
        <f t="shared" si="8"/>
        <v>1.9060402684563758</v>
      </c>
      <c r="BN55" s="2">
        <v>122</v>
      </c>
      <c r="BO55" s="1">
        <f t="shared" si="9"/>
        <v>1.6375838926174497</v>
      </c>
      <c r="BP55" s="2">
        <v>154</v>
      </c>
      <c r="BQ55" s="1">
        <f t="shared" si="10"/>
        <v>2.0671140939597317</v>
      </c>
      <c r="BR55" s="2">
        <v>132</v>
      </c>
      <c r="BS55" s="1">
        <f t="shared" si="11"/>
        <v>1.7718120805369129</v>
      </c>
      <c r="BT55" s="2">
        <v>168</v>
      </c>
      <c r="BU55" s="1">
        <f t="shared" si="12"/>
        <v>2.2550335570469797</v>
      </c>
      <c r="BV55" s="2">
        <v>174</v>
      </c>
      <c r="BW55" s="1">
        <f t="shared" si="38"/>
        <v>2.3355704697986579</v>
      </c>
      <c r="BX55" s="1">
        <f t="shared" si="14"/>
        <v>1.282442748091603</v>
      </c>
      <c r="BY55" s="1">
        <f t="shared" si="18"/>
        <v>1.0175438596491229</v>
      </c>
      <c r="BZ55" s="32"/>
      <c r="CA55" s="32"/>
      <c r="CB55" s="32"/>
      <c r="CC55" s="32"/>
      <c r="CD55" s="32"/>
      <c r="CE55" s="32"/>
      <c r="CF55" s="32"/>
      <c r="CG55" s="32"/>
    </row>
    <row r="56" spans="1:85" ht="14.25" customHeight="1" thickBot="1">
      <c r="A56" s="22" t="s">
        <v>152</v>
      </c>
      <c r="B56" s="2">
        <v>52</v>
      </c>
      <c r="C56" s="2" t="s">
        <v>83</v>
      </c>
      <c r="D56" s="10" t="s">
        <v>84</v>
      </c>
      <c r="E56" s="2" t="s">
        <v>131</v>
      </c>
      <c r="F56" s="9">
        <v>39825</v>
      </c>
      <c r="G56" s="8" t="s">
        <v>147</v>
      </c>
      <c r="H56" s="12">
        <v>17</v>
      </c>
      <c r="I56" s="2">
        <v>80.8</v>
      </c>
      <c r="J56" s="2">
        <v>188</v>
      </c>
      <c r="K56" s="1"/>
      <c r="L56" s="9">
        <v>46202</v>
      </c>
      <c r="M56" s="9" t="s">
        <v>166</v>
      </c>
      <c r="N56" s="2">
        <v>1357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30"/>
        <v>0</v>
      </c>
      <c r="Z56" s="1">
        <f t="shared" si="31"/>
        <v>0</v>
      </c>
      <c r="AA56" s="1" t="e">
        <f t="shared" si="32"/>
        <v>#DIV/0!</v>
      </c>
      <c r="AB56" s="1"/>
      <c r="AC56" s="1"/>
      <c r="AD56" s="1"/>
      <c r="AE56" s="1"/>
      <c r="AF56" s="1"/>
      <c r="AG56" s="1"/>
      <c r="AH56" s="1">
        <f t="shared" si="33"/>
        <v>0</v>
      </c>
      <c r="AI56" s="1"/>
      <c r="AJ56" s="1">
        <f t="shared" si="34"/>
        <v>0</v>
      </c>
      <c r="AK56" s="1"/>
      <c r="AL56" s="1"/>
      <c r="AM56" s="2">
        <v>37</v>
      </c>
      <c r="AN56" s="2">
        <v>2100</v>
      </c>
      <c r="AO56" s="2">
        <v>12231</v>
      </c>
      <c r="AP56" s="2">
        <v>2.67</v>
      </c>
      <c r="AQ56" s="1"/>
      <c r="AR56" s="1"/>
      <c r="AS56" s="1"/>
      <c r="AT56" s="1"/>
      <c r="AU56" s="2">
        <v>16.5</v>
      </c>
      <c r="AV56" s="1"/>
      <c r="AW56" s="1"/>
      <c r="AX56" s="1"/>
      <c r="AY56" s="1"/>
      <c r="AZ56" s="1"/>
      <c r="BA56" s="1"/>
      <c r="BB56" s="1"/>
      <c r="BC56" s="1"/>
      <c r="BD56" s="1"/>
      <c r="BE56" s="1">
        <f t="shared" si="16"/>
        <v>0</v>
      </c>
      <c r="BF56" s="1"/>
      <c r="BG56" s="1">
        <f t="shared" si="5"/>
        <v>0</v>
      </c>
      <c r="BH56" s="1"/>
      <c r="BI56" s="1">
        <f t="shared" si="6"/>
        <v>0</v>
      </c>
      <c r="BJ56" s="1"/>
      <c r="BK56" s="1">
        <f t="shared" si="7"/>
        <v>0</v>
      </c>
      <c r="BL56" s="1"/>
      <c r="BM56" s="1">
        <f t="shared" si="8"/>
        <v>0</v>
      </c>
      <c r="BN56" s="1"/>
      <c r="BO56" s="1">
        <f t="shared" si="9"/>
        <v>0</v>
      </c>
      <c r="BP56" s="1"/>
      <c r="BQ56" s="1">
        <f t="shared" si="10"/>
        <v>0</v>
      </c>
      <c r="BR56" s="1"/>
      <c r="BS56" s="1">
        <f t="shared" si="11"/>
        <v>0</v>
      </c>
      <c r="BT56" s="1"/>
      <c r="BU56" s="1">
        <f t="shared" si="12"/>
        <v>0</v>
      </c>
      <c r="BV56" s="1"/>
      <c r="BW56" s="1">
        <f t="shared" si="38"/>
        <v>0</v>
      </c>
      <c r="BX56" s="1" t="e">
        <f t="shared" si="14"/>
        <v>#DIV/0!</v>
      </c>
      <c r="BY56" s="1" t="e">
        <f t="shared" si="18"/>
        <v>#DIV/0!</v>
      </c>
      <c r="BZ56" s="34"/>
      <c r="CA56" s="34"/>
      <c r="CB56" s="34"/>
      <c r="CC56" s="34"/>
      <c r="CD56" s="34"/>
      <c r="CE56" s="34"/>
      <c r="CF56" s="34"/>
      <c r="CG56" s="34"/>
    </row>
    <row r="57" spans="1:85" ht="14.25" customHeight="1" thickBot="1">
      <c r="A57" s="22" t="s">
        <v>153</v>
      </c>
      <c r="B57" s="2">
        <v>53</v>
      </c>
      <c r="C57" s="2" t="s">
        <v>83</v>
      </c>
      <c r="D57" s="6" t="s">
        <v>93</v>
      </c>
      <c r="E57" s="2" t="s">
        <v>106</v>
      </c>
      <c r="F57" s="21">
        <v>39773</v>
      </c>
      <c r="G57" s="12" t="s">
        <v>147</v>
      </c>
      <c r="H57" s="8">
        <v>17</v>
      </c>
      <c r="I57" s="2">
        <v>67.099999999999994</v>
      </c>
      <c r="J57" s="2">
        <v>183</v>
      </c>
      <c r="K57" s="1"/>
      <c r="L57" s="1"/>
      <c r="M57" s="9" t="s">
        <v>166</v>
      </c>
      <c r="N57" s="2">
        <v>1182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30"/>
        <v>0</v>
      </c>
      <c r="Z57" s="1">
        <f t="shared" si="31"/>
        <v>0</v>
      </c>
      <c r="AA57" s="1" t="e">
        <f t="shared" si="32"/>
        <v>#DIV/0!</v>
      </c>
      <c r="AB57" s="1"/>
      <c r="AC57" s="1"/>
      <c r="AD57" s="1"/>
      <c r="AE57" s="1"/>
      <c r="AF57" s="1"/>
      <c r="AG57" s="1"/>
      <c r="AH57" s="1">
        <f t="shared" si="33"/>
        <v>0</v>
      </c>
      <c r="AI57" s="1"/>
      <c r="AJ57" s="1">
        <f t="shared" si="34"/>
        <v>0</v>
      </c>
      <c r="AK57" s="1"/>
      <c r="AL57" s="1"/>
      <c r="AM57" s="2">
        <v>36.9</v>
      </c>
      <c r="AN57" s="2">
        <v>1788</v>
      </c>
      <c r="AO57" s="2">
        <v>11741</v>
      </c>
      <c r="AP57" s="2">
        <v>2.4700000000000002</v>
      </c>
      <c r="AQ57" s="1"/>
      <c r="AR57" s="1"/>
      <c r="AS57" s="1"/>
      <c r="AT57" s="1"/>
      <c r="AU57" s="2">
        <v>17</v>
      </c>
      <c r="AV57" s="1"/>
      <c r="AW57" s="1"/>
      <c r="AX57" s="1"/>
      <c r="AY57" s="1"/>
      <c r="AZ57" s="1"/>
      <c r="BA57" s="1"/>
      <c r="BB57" s="1"/>
      <c r="BC57" s="1"/>
      <c r="BD57" s="1"/>
      <c r="BE57" s="1">
        <f t="shared" si="16"/>
        <v>0</v>
      </c>
      <c r="BF57" s="1"/>
      <c r="BG57" s="1">
        <f t="shared" si="5"/>
        <v>0</v>
      </c>
      <c r="BH57" s="1"/>
      <c r="BI57" s="1">
        <f t="shared" si="6"/>
        <v>0</v>
      </c>
      <c r="BJ57" s="1"/>
      <c r="BK57" s="1">
        <f t="shared" si="7"/>
        <v>0</v>
      </c>
      <c r="BL57" s="1"/>
      <c r="BM57" s="1">
        <f t="shared" si="8"/>
        <v>0</v>
      </c>
      <c r="BN57" s="1"/>
      <c r="BO57" s="1">
        <f t="shared" si="9"/>
        <v>0</v>
      </c>
      <c r="BP57" s="1"/>
      <c r="BQ57" s="1">
        <f t="shared" si="10"/>
        <v>0</v>
      </c>
      <c r="BR57" s="1"/>
      <c r="BS57" s="1">
        <f t="shared" si="11"/>
        <v>0</v>
      </c>
      <c r="BT57" s="1"/>
      <c r="BU57" s="1">
        <f t="shared" si="12"/>
        <v>0</v>
      </c>
      <c r="BV57" s="1"/>
      <c r="BW57" s="1">
        <f t="shared" si="38"/>
        <v>0</v>
      </c>
      <c r="BX57" s="1" t="e">
        <f t="shared" si="14"/>
        <v>#DIV/0!</v>
      </c>
      <c r="BY57" s="1" t="e">
        <f t="shared" si="18"/>
        <v>#DIV/0!</v>
      </c>
      <c r="BZ57" s="32"/>
      <c r="CA57" s="32"/>
      <c r="CB57" s="32"/>
      <c r="CC57" s="32"/>
      <c r="CD57" s="32"/>
      <c r="CE57" s="32"/>
      <c r="CF57" s="32"/>
      <c r="CG57" s="32"/>
    </row>
    <row r="58" spans="1:85" ht="14.25" customHeight="1" thickBot="1">
      <c r="A58" s="22" t="s">
        <v>154</v>
      </c>
      <c r="B58" s="2">
        <v>55</v>
      </c>
      <c r="C58" s="2" t="s">
        <v>83</v>
      </c>
      <c r="D58" s="6" t="s">
        <v>93</v>
      </c>
      <c r="E58" s="2" t="s">
        <v>97</v>
      </c>
      <c r="F58" s="9">
        <v>40849</v>
      </c>
      <c r="G58" s="8" t="s">
        <v>147</v>
      </c>
      <c r="H58" s="12">
        <v>14</v>
      </c>
      <c r="I58" s="2" t="s">
        <v>155</v>
      </c>
      <c r="J58" s="1"/>
      <c r="K58" s="1"/>
      <c r="L58" s="1"/>
      <c r="M58" s="9" t="s">
        <v>166</v>
      </c>
      <c r="N58" s="2">
        <v>1014</v>
      </c>
      <c r="O58" s="2"/>
      <c r="P58" s="2"/>
      <c r="Q58" s="2"/>
      <c r="R58" s="2"/>
      <c r="S58" s="2"/>
      <c r="T58" s="2"/>
      <c r="U58" s="1"/>
      <c r="V58" s="1"/>
      <c r="W58" s="1"/>
      <c r="X58" s="1"/>
      <c r="Y58" s="1">
        <f t="shared" si="30"/>
        <v>0</v>
      </c>
      <c r="Z58" s="1">
        <f t="shared" si="31"/>
        <v>0</v>
      </c>
      <c r="AA58" s="1" t="e">
        <f t="shared" si="32"/>
        <v>#DIV/0!</v>
      </c>
      <c r="AB58" s="1"/>
      <c r="AC58" s="1"/>
      <c r="AD58" s="1"/>
      <c r="AE58" s="1"/>
      <c r="AF58" s="1"/>
      <c r="AG58" s="1"/>
      <c r="AH58" s="1" t="e">
        <f t="shared" si="33"/>
        <v>#VALUE!</v>
      </c>
      <c r="AI58" s="1"/>
      <c r="AJ58" s="1" t="e">
        <f t="shared" si="34"/>
        <v>#VALUE!</v>
      </c>
      <c r="AK58" s="1"/>
      <c r="AL58" s="1"/>
      <c r="AM58" s="2">
        <v>40.700000000000003</v>
      </c>
      <c r="AN58" s="2">
        <v>1762</v>
      </c>
      <c r="AO58" s="2">
        <v>8461</v>
      </c>
      <c r="AP58" s="2">
        <v>2.78</v>
      </c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 t="e">
        <f t="shared" si="16"/>
        <v>#VALUE!</v>
      </c>
      <c r="BF58" s="1"/>
      <c r="BG58" s="1" t="e">
        <f t="shared" si="5"/>
        <v>#VALUE!</v>
      </c>
      <c r="BH58" s="1"/>
      <c r="BI58" s="1" t="e">
        <f t="shared" si="6"/>
        <v>#VALUE!</v>
      </c>
      <c r="BJ58" s="1"/>
      <c r="BK58" s="1" t="e">
        <f t="shared" si="7"/>
        <v>#VALUE!</v>
      </c>
      <c r="BL58" s="1"/>
      <c r="BM58" s="1" t="e">
        <f t="shared" si="8"/>
        <v>#VALUE!</v>
      </c>
      <c r="BN58" s="1"/>
      <c r="BO58" s="1" t="e">
        <f t="shared" si="9"/>
        <v>#VALUE!</v>
      </c>
      <c r="BP58" s="1"/>
      <c r="BQ58" s="1" t="e">
        <f t="shared" si="10"/>
        <v>#VALUE!</v>
      </c>
      <c r="BR58" s="1"/>
      <c r="BS58" s="1" t="e">
        <f t="shared" si="11"/>
        <v>#VALUE!</v>
      </c>
      <c r="BT58" s="1"/>
      <c r="BU58" s="1" t="e">
        <f t="shared" si="12"/>
        <v>#VALUE!</v>
      </c>
      <c r="BV58" s="1"/>
      <c r="BW58" s="1" t="e">
        <f t="shared" si="38"/>
        <v>#VALUE!</v>
      </c>
      <c r="BX58" s="1" t="e">
        <f t="shared" si="14"/>
        <v>#DIV/0!</v>
      </c>
      <c r="BY58" s="1" t="e">
        <f t="shared" si="18"/>
        <v>#DIV/0!</v>
      </c>
      <c r="BZ58" s="34"/>
      <c r="CA58" s="34"/>
      <c r="CB58" s="34"/>
      <c r="CC58" s="34"/>
      <c r="CD58" s="34"/>
      <c r="CE58" s="34"/>
      <c r="CF58" s="34"/>
      <c r="CG58" s="34"/>
    </row>
    <row r="59" spans="1:85" ht="14.25" customHeight="1" thickBot="1">
      <c r="A59" s="22" t="s">
        <v>156</v>
      </c>
      <c r="B59" s="2">
        <v>70</v>
      </c>
      <c r="C59" s="2" t="s">
        <v>83</v>
      </c>
      <c r="D59" s="10" t="s">
        <v>100</v>
      </c>
      <c r="E59" s="2" t="s">
        <v>101</v>
      </c>
      <c r="F59" s="9">
        <v>38239</v>
      </c>
      <c r="G59" s="12" t="s">
        <v>122</v>
      </c>
      <c r="H59" s="8">
        <v>21</v>
      </c>
      <c r="I59" s="2">
        <v>85.4</v>
      </c>
      <c r="J59" s="2">
        <v>187</v>
      </c>
      <c r="K59" s="1"/>
      <c r="L59" s="1"/>
      <c r="M59" s="9" t="s">
        <v>166</v>
      </c>
      <c r="N59" s="2">
        <v>1319</v>
      </c>
      <c r="O59" s="2">
        <v>45.1</v>
      </c>
      <c r="P59" s="2">
        <v>41.5</v>
      </c>
      <c r="Q59" s="2">
        <v>9</v>
      </c>
      <c r="R59" s="2">
        <v>8.6999999999999993</v>
      </c>
      <c r="S59" s="2">
        <v>8.4</v>
      </c>
      <c r="T59" s="2">
        <v>9.8000000000000007</v>
      </c>
      <c r="U59" s="2">
        <v>28.8</v>
      </c>
      <c r="V59" s="2">
        <v>30.3</v>
      </c>
      <c r="W59" s="2">
        <v>34.4</v>
      </c>
      <c r="X59" s="2">
        <v>31.1</v>
      </c>
      <c r="Y59" s="1">
        <f t="shared" si="30"/>
        <v>59.1</v>
      </c>
      <c r="Z59" s="1">
        <f t="shared" si="31"/>
        <v>65.5</v>
      </c>
      <c r="AA59" s="1">
        <f t="shared" si="32"/>
        <v>0.90229007633587788</v>
      </c>
      <c r="AB59" s="2">
        <v>18</v>
      </c>
      <c r="AC59" s="2">
        <v>20</v>
      </c>
      <c r="AD59" s="2">
        <v>13</v>
      </c>
      <c r="AE59" s="2">
        <v>12</v>
      </c>
      <c r="AF59" s="2">
        <v>42.5</v>
      </c>
      <c r="AG59" s="1"/>
      <c r="AH59" s="1">
        <f t="shared" si="33"/>
        <v>0</v>
      </c>
      <c r="AI59" s="1"/>
      <c r="AJ59" s="1">
        <f t="shared" si="34"/>
        <v>0</v>
      </c>
      <c r="AK59" s="1"/>
      <c r="AL59" s="1"/>
      <c r="AM59" s="2">
        <v>48.3</v>
      </c>
      <c r="AN59" s="2">
        <v>2448</v>
      </c>
      <c r="AO59" s="2">
        <v>15927</v>
      </c>
      <c r="AP59" s="2">
        <v>1.83</v>
      </c>
      <c r="AQ59" s="1"/>
      <c r="AR59" s="1"/>
      <c r="AS59" s="1"/>
      <c r="AT59" s="1"/>
      <c r="AU59" s="2">
        <v>15.5</v>
      </c>
      <c r="AV59" s="1"/>
      <c r="AW59" s="1"/>
      <c r="AX59" s="1"/>
      <c r="AY59" s="1"/>
      <c r="AZ59" s="1"/>
      <c r="BA59" s="1"/>
      <c r="BB59" s="1"/>
      <c r="BC59" s="1"/>
      <c r="BD59" s="2">
        <v>333</v>
      </c>
      <c r="BE59" s="1">
        <f t="shared" si="16"/>
        <v>3.8992974238875875</v>
      </c>
      <c r="BF59" s="2">
        <v>312</v>
      </c>
      <c r="BG59" s="1">
        <f t="shared" si="5"/>
        <v>3.6533957845433251</v>
      </c>
      <c r="BH59" s="2">
        <v>219</v>
      </c>
      <c r="BI59" s="1">
        <f t="shared" si="6"/>
        <v>2.5644028103044496</v>
      </c>
      <c r="BJ59" s="2">
        <v>204</v>
      </c>
      <c r="BK59" s="1">
        <f t="shared" si="7"/>
        <v>2.3887587822014051</v>
      </c>
      <c r="BL59" s="2">
        <v>165</v>
      </c>
      <c r="BM59" s="1">
        <f t="shared" si="8"/>
        <v>1.9320843091334894</v>
      </c>
      <c r="BN59" s="2">
        <v>169</v>
      </c>
      <c r="BO59" s="1">
        <f t="shared" si="9"/>
        <v>1.9789227166276346</v>
      </c>
      <c r="BP59" s="2">
        <v>164</v>
      </c>
      <c r="BQ59" s="1">
        <f t="shared" si="10"/>
        <v>1.9203747072599531</v>
      </c>
      <c r="BR59" s="2">
        <v>155</v>
      </c>
      <c r="BS59" s="1">
        <f t="shared" si="11"/>
        <v>1.8149882903981263</v>
      </c>
      <c r="BT59" s="2">
        <v>224</v>
      </c>
      <c r="BU59" s="1">
        <f t="shared" si="12"/>
        <v>2.622950819672131</v>
      </c>
      <c r="BV59" s="2">
        <v>212</v>
      </c>
      <c r="BW59" s="1">
        <f t="shared" si="38"/>
        <v>2.4824355971896952</v>
      </c>
      <c r="BX59" s="1">
        <f t="shared" si="14"/>
        <v>1.0228310502283104</v>
      </c>
      <c r="BY59" s="1">
        <f t="shared" si="18"/>
        <v>1.0392156862745099</v>
      </c>
      <c r="BZ59" s="32"/>
      <c r="CA59" s="32"/>
      <c r="CB59" s="32"/>
      <c r="CC59" s="32"/>
      <c r="CD59" s="32"/>
      <c r="CE59" s="32"/>
      <c r="CF59" s="32"/>
      <c r="CG59" s="32"/>
    </row>
    <row r="60" spans="1:85" ht="14.25" customHeight="1" thickBot="1">
      <c r="A60" s="22" t="s">
        <v>157</v>
      </c>
      <c r="B60" s="2">
        <v>59</v>
      </c>
      <c r="C60" s="2" t="s">
        <v>83</v>
      </c>
      <c r="D60" s="6" t="s">
        <v>93</v>
      </c>
      <c r="E60" s="2" t="s">
        <v>106</v>
      </c>
      <c r="F60" s="9">
        <v>38810</v>
      </c>
      <c r="G60" s="8" t="s">
        <v>147</v>
      </c>
      <c r="H60" s="14">
        <v>20</v>
      </c>
      <c r="I60" s="2">
        <v>72.5</v>
      </c>
      <c r="J60" s="1"/>
      <c r="K60" s="1"/>
      <c r="L60" s="1"/>
      <c r="M60" s="9" t="s">
        <v>166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>
        <f t="shared" si="30"/>
        <v>0</v>
      </c>
      <c r="Z60" s="1">
        <f t="shared" si="31"/>
        <v>0</v>
      </c>
      <c r="AA60" s="1" t="e">
        <f t="shared" si="32"/>
        <v>#DIV/0!</v>
      </c>
      <c r="AB60" s="1"/>
      <c r="AC60" s="1"/>
      <c r="AD60" s="1"/>
      <c r="AE60" s="1"/>
      <c r="AF60" s="1"/>
      <c r="AG60" s="1"/>
      <c r="AH60" s="1">
        <f t="shared" si="33"/>
        <v>0</v>
      </c>
      <c r="AI60" s="1"/>
      <c r="AJ60" s="1">
        <f t="shared" si="34"/>
        <v>0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>
        <f t="shared" si="16"/>
        <v>0</v>
      </c>
      <c r="BF60" s="1"/>
      <c r="BG60" s="1">
        <f t="shared" si="5"/>
        <v>0</v>
      </c>
      <c r="BH60" s="1"/>
      <c r="BI60" s="1">
        <f t="shared" si="6"/>
        <v>0</v>
      </c>
      <c r="BJ60" s="1"/>
      <c r="BK60" s="1">
        <f t="shared" si="7"/>
        <v>0</v>
      </c>
      <c r="BL60" s="1"/>
      <c r="BM60" s="1">
        <f t="shared" si="8"/>
        <v>0</v>
      </c>
      <c r="BN60" s="1"/>
      <c r="BO60" s="1">
        <f t="shared" si="9"/>
        <v>0</v>
      </c>
      <c r="BP60" s="1"/>
      <c r="BQ60" s="1">
        <f t="shared" si="10"/>
        <v>0</v>
      </c>
      <c r="BR60" s="1"/>
      <c r="BS60" s="1">
        <f t="shared" si="11"/>
        <v>0</v>
      </c>
      <c r="BT60" s="1"/>
      <c r="BU60" s="1">
        <f t="shared" si="12"/>
        <v>0</v>
      </c>
      <c r="BV60" s="1"/>
      <c r="BW60" s="1">
        <f t="shared" si="38"/>
        <v>0</v>
      </c>
      <c r="BX60" s="1" t="e">
        <f t="shared" si="14"/>
        <v>#DIV/0!</v>
      </c>
      <c r="BY60" s="1" t="e">
        <f t="shared" si="18"/>
        <v>#DIV/0!</v>
      </c>
      <c r="BZ60" s="34"/>
      <c r="CA60" s="34"/>
      <c r="CB60" s="34"/>
      <c r="CC60" s="34"/>
      <c r="CD60" s="34"/>
      <c r="CE60" s="34"/>
      <c r="CF60" s="34"/>
      <c r="CG60" s="34"/>
    </row>
    <row r="61" spans="1:85" ht="14.25" customHeight="1" thickBot="1">
      <c r="A61" s="22" t="s">
        <v>158</v>
      </c>
      <c r="B61" s="2">
        <v>54</v>
      </c>
      <c r="C61" s="2" t="s">
        <v>83</v>
      </c>
      <c r="D61" s="6" t="s">
        <v>93</v>
      </c>
      <c r="E61" s="2" t="s">
        <v>106</v>
      </c>
      <c r="F61" s="9">
        <v>39825</v>
      </c>
      <c r="G61" s="12" t="s">
        <v>147</v>
      </c>
      <c r="H61" s="8">
        <v>17</v>
      </c>
      <c r="I61" s="2">
        <v>68.599999999999994</v>
      </c>
      <c r="J61" s="2">
        <v>178</v>
      </c>
      <c r="K61" s="1"/>
      <c r="L61" s="1"/>
      <c r="M61" s="9" t="s">
        <v>166</v>
      </c>
      <c r="N61" s="2">
        <v>1168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f t="shared" si="30"/>
        <v>0</v>
      </c>
      <c r="Z61" s="1">
        <f t="shared" si="31"/>
        <v>0</v>
      </c>
      <c r="AA61" s="1" t="e">
        <f t="shared" si="32"/>
        <v>#DIV/0!</v>
      </c>
      <c r="AB61" s="1"/>
      <c r="AC61" s="1"/>
      <c r="AD61" s="1"/>
      <c r="AE61" s="1"/>
      <c r="AF61" s="1"/>
      <c r="AG61" s="1"/>
      <c r="AH61" s="1">
        <f t="shared" si="33"/>
        <v>0</v>
      </c>
      <c r="AI61" s="1"/>
      <c r="AJ61" s="1">
        <f t="shared" si="34"/>
        <v>0</v>
      </c>
      <c r="AK61" s="1"/>
      <c r="AL61" s="1"/>
      <c r="AM61" s="2">
        <v>35.1</v>
      </c>
      <c r="AN61" s="2">
        <v>1657</v>
      </c>
      <c r="AO61" s="2">
        <v>12351</v>
      </c>
      <c r="AP61" s="2">
        <v>2.13</v>
      </c>
      <c r="AQ61" s="1"/>
      <c r="AR61" s="1"/>
      <c r="AS61" s="1"/>
      <c r="AT61" s="1"/>
      <c r="AU61" s="2">
        <v>18</v>
      </c>
      <c r="AV61" s="1"/>
      <c r="AW61" s="1"/>
      <c r="AX61" s="1"/>
      <c r="AY61" s="1"/>
      <c r="AZ61" s="1"/>
      <c r="BA61" s="1"/>
      <c r="BB61" s="1"/>
      <c r="BC61" s="1"/>
      <c r="BD61" s="1"/>
      <c r="BE61" s="1">
        <f t="shared" si="16"/>
        <v>0</v>
      </c>
      <c r="BF61" s="1"/>
      <c r="BG61" s="1">
        <f t="shared" si="5"/>
        <v>0</v>
      </c>
      <c r="BH61" s="1"/>
      <c r="BI61" s="1">
        <f t="shared" si="6"/>
        <v>0</v>
      </c>
      <c r="BJ61" s="1"/>
      <c r="BK61" s="1">
        <f t="shared" si="7"/>
        <v>0</v>
      </c>
      <c r="BL61" s="1"/>
      <c r="BM61" s="1">
        <f t="shared" si="8"/>
        <v>0</v>
      </c>
      <c r="BN61" s="1"/>
      <c r="BO61" s="1">
        <f t="shared" si="9"/>
        <v>0</v>
      </c>
      <c r="BP61" s="1"/>
      <c r="BQ61" s="1">
        <f t="shared" si="10"/>
        <v>0</v>
      </c>
      <c r="BR61" s="1"/>
      <c r="BS61" s="1">
        <f t="shared" si="11"/>
        <v>0</v>
      </c>
      <c r="BT61" s="1"/>
      <c r="BU61" s="1">
        <f t="shared" si="12"/>
        <v>0</v>
      </c>
      <c r="BV61" s="1"/>
      <c r="BW61" s="1">
        <f t="shared" si="38"/>
        <v>0</v>
      </c>
      <c r="BX61" s="1" t="e">
        <f t="shared" si="14"/>
        <v>#DIV/0!</v>
      </c>
      <c r="BY61" s="1" t="e">
        <f t="shared" si="18"/>
        <v>#DIV/0!</v>
      </c>
      <c r="BZ61" s="32"/>
      <c r="CA61" s="32"/>
      <c r="CB61" s="32"/>
      <c r="CC61" s="32"/>
      <c r="CD61" s="32"/>
      <c r="CE61" s="32"/>
      <c r="CF61" s="32"/>
      <c r="CG61" s="32"/>
    </row>
    <row r="62" spans="1:85" ht="14.25" customHeight="1" thickBot="1">
      <c r="A62" s="22" t="s">
        <v>159</v>
      </c>
      <c r="B62" s="2">
        <v>43</v>
      </c>
      <c r="C62" s="2" t="s">
        <v>83</v>
      </c>
      <c r="D62" s="10" t="s">
        <v>79</v>
      </c>
      <c r="E62" s="2" t="s">
        <v>104</v>
      </c>
      <c r="F62" s="9">
        <v>68865</v>
      </c>
      <c r="G62" s="8" t="s">
        <v>147</v>
      </c>
      <c r="H62" s="12">
        <v>18</v>
      </c>
      <c r="I62" s="2">
        <v>86.4</v>
      </c>
      <c r="J62" s="2">
        <v>188.5</v>
      </c>
      <c r="K62" s="1"/>
      <c r="L62" s="1"/>
      <c r="M62" s="9" t="s">
        <v>166</v>
      </c>
      <c r="N62" s="2">
        <v>1430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>
        <f t="shared" si="30"/>
        <v>0</v>
      </c>
      <c r="Z62" s="1">
        <f t="shared" si="31"/>
        <v>0</v>
      </c>
      <c r="AA62" s="1" t="e">
        <f t="shared" si="32"/>
        <v>#DIV/0!</v>
      </c>
      <c r="AB62" s="1"/>
      <c r="AC62" s="1"/>
      <c r="AD62" s="1"/>
      <c r="AE62" s="1"/>
      <c r="AF62" s="1"/>
      <c r="AG62" s="1"/>
      <c r="AH62" s="1">
        <f t="shared" si="33"/>
        <v>0</v>
      </c>
      <c r="AI62" s="1"/>
      <c r="AJ62" s="1">
        <f t="shared" si="34"/>
        <v>0</v>
      </c>
      <c r="AK62" s="1"/>
      <c r="AL62" s="1"/>
      <c r="AM62" s="2">
        <v>41.5</v>
      </c>
      <c r="AN62" s="2">
        <v>1959</v>
      </c>
      <c r="AO62" s="2">
        <v>10902</v>
      </c>
      <c r="AP62" s="2">
        <v>2.4500000000000002</v>
      </c>
      <c r="AQ62" s="1"/>
      <c r="AR62" s="1"/>
      <c r="AS62" s="1"/>
      <c r="AT62" s="1"/>
      <c r="AU62" s="2">
        <v>15</v>
      </c>
      <c r="AV62" s="1"/>
      <c r="AW62" s="1"/>
      <c r="AX62" s="1"/>
      <c r="AY62" s="1"/>
      <c r="AZ62" s="1"/>
      <c r="BA62" s="1"/>
      <c r="BB62" s="1"/>
      <c r="BC62" s="1"/>
      <c r="BD62" s="1"/>
      <c r="BE62" s="1">
        <f t="shared" si="16"/>
        <v>0</v>
      </c>
      <c r="BF62" s="1"/>
      <c r="BG62" s="1">
        <f t="shared" si="5"/>
        <v>0</v>
      </c>
      <c r="BH62" s="1"/>
      <c r="BI62" s="1">
        <f t="shared" si="6"/>
        <v>0</v>
      </c>
      <c r="BJ62" s="1"/>
      <c r="BK62" s="1">
        <f t="shared" si="7"/>
        <v>0</v>
      </c>
      <c r="BL62" s="1"/>
      <c r="BM62" s="1">
        <f t="shared" si="8"/>
        <v>0</v>
      </c>
      <c r="BN62" s="1"/>
      <c r="BO62" s="1">
        <f t="shared" si="9"/>
        <v>0</v>
      </c>
      <c r="BP62" s="1"/>
      <c r="BQ62" s="1">
        <f t="shared" si="10"/>
        <v>0</v>
      </c>
      <c r="BR62" s="1"/>
      <c r="BS62" s="1">
        <f t="shared" si="11"/>
        <v>0</v>
      </c>
      <c r="BT62" s="1"/>
      <c r="BU62" s="1">
        <f t="shared" si="12"/>
        <v>0</v>
      </c>
      <c r="BV62" s="1"/>
      <c r="BW62" s="1">
        <f t="shared" si="38"/>
        <v>0</v>
      </c>
      <c r="BX62" s="1" t="e">
        <f t="shared" si="14"/>
        <v>#DIV/0!</v>
      </c>
      <c r="BY62" s="1" t="e">
        <f t="shared" si="18"/>
        <v>#DIV/0!</v>
      </c>
      <c r="BZ62" s="34"/>
      <c r="CA62" s="34"/>
      <c r="CB62" s="34"/>
      <c r="CC62" s="34"/>
      <c r="CD62" s="34"/>
      <c r="CE62" s="34"/>
      <c r="CF62" s="34"/>
      <c r="CG62" s="34"/>
    </row>
    <row r="63" spans="1:85" ht="14.25" customHeight="1" thickBot="1">
      <c r="A63" s="22" t="s">
        <v>160</v>
      </c>
      <c r="B63" s="2">
        <v>41</v>
      </c>
      <c r="C63" s="2" t="s">
        <v>78</v>
      </c>
      <c r="D63" s="10" t="s">
        <v>79</v>
      </c>
      <c r="E63" s="2" t="s">
        <v>80</v>
      </c>
      <c r="F63" s="9">
        <v>39660</v>
      </c>
      <c r="G63" s="12" t="s">
        <v>147</v>
      </c>
      <c r="H63" s="8">
        <v>18</v>
      </c>
      <c r="I63" s="2">
        <v>69.400000000000006</v>
      </c>
      <c r="J63" s="2">
        <v>176</v>
      </c>
      <c r="K63" s="1"/>
      <c r="L63" s="1"/>
      <c r="M63" s="9" t="s">
        <v>166</v>
      </c>
      <c r="N63" s="2">
        <v>957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30"/>
        <v>0</v>
      </c>
      <c r="Z63" s="1">
        <f t="shared" si="31"/>
        <v>0</v>
      </c>
      <c r="AA63" s="1" t="e">
        <f t="shared" si="32"/>
        <v>#DIV/0!</v>
      </c>
      <c r="AB63" s="1"/>
      <c r="AC63" s="1"/>
      <c r="AD63" s="1"/>
      <c r="AE63" s="1"/>
      <c r="AF63" s="1"/>
      <c r="AG63" s="1"/>
      <c r="AH63" s="1">
        <f t="shared" si="33"/>
        <v>0</v>
      </c>
      <c r="AI63" s="1"/>
      <c r="AJ63" s="1">
        <f t="shared" si="34"/>
        <v>0</v>
      </c>
      <c r="AK63" s="1"/>
      <c r="AL63" s="1"/>
      <c r="AM63" s="2">
        <v>35.1</v>
      </c>
      <c r="AN63" s="2">
        <v>1730</v>
      </c>
      <c r="AO63" s="2">
        <v>10436</v>
      </c>
      <c r="AP63" s="2">
        <v>2.34</v>
      </c>
      <c r="AQ63" s="1"/>
      <c r="AR63" s="1"/>
      <c r="AS63" s="1"/>
      <c r="AT63" s="1"/>
      <c r="AU63" s="2">
        <v>18</v>
      </c>
      <c r="AV63" s="1"/>
      <c r="AW63" s="1"/>
      <c r="AX63" s="1"/>
      <c r="AY63" s="1"/>
      <c r="AZ63" s="1"/>
      <c r="BA63" s="1"/>
      <c r="BB63" s="1"/>
      <c r="BC63" s="1"/>
      <c r="BD63" s="1"/>
      <c r="BE63" s="1">
        <f t="shared" si="16"/>
        <v>0</v>
      </c>
      <c r="BF63" s="1"/>
      <c r="BG63" s="1">
        <f t="shared" si="5"/>
        <v>0</v>
      </c>
      <c r="BH63" s="1"/>
      <c r="BI63" s="1">
        <f t="shared" si="6"/>
        <v>0</v>
      </c>
      <c r="BJ63" s="1"/>
      <c r="BK63" s="1">
        <f t="shared" si="7"/>
        <v>0</v>
      </c>
      <c r="BL63" s="1"/>
      <c r="BM63" s="1">
        <f t="shared" si="8"/>
        <v>0</v>
      </c>
      <c r="BN63" s="1"/>
      <c r="BO63" s="1">
        <f t="shared" si="9"/>
        <v>0</v>
      </c>
      <c r="BP63" s="1"/>
      <c r="BQ63" s="1">
        <f t="shared" si="10"/>
        <v>0</v>
      </c>
      <c r="BR63" s="1"/>
      <c r="BS63" s="1">
        <f t="shared" si="11"/>
        <v>0</v>
      </c>
      <c r="BT63" s="1"/>
      <c r="BU63" s="1">
        <f t="shared" si="12"/>
        <v>0</v>
      </c>
      <c r="BV63" s="1"/>
      <c r="BW63" s="1">
        <f>BV62/I63</f>
        <v>0</v>
      </c>
      <c r="BX63" s="1" t="e">
        <f t="shared" si="14"/>
        <v>#DIV/0!</v>
      </c>
      <c r="BY63" s="1" t="e">
        <f t="shared" si="18"/>
        <v>#DIV/0!</v>
      </c>
      <c r="BZ63" s="32"/>
      <c r="CA63" s="32"/>
      <c r="CB63" s="32"/>
      <c r="CC63" s="32"/>
      <c r="CD63" s="32"/>
      <c r="CE63" s="32"/>
      <c r="CF63" s="32"/>
      <c r="CG63" s="32"/>
    </row>
    <row r="64" spans="1:85" ht="14.25" customHeight="1" thickBot="1">
      <c r="A64" s="22" t="s">
        <v>161</v>
      </c>
      <c r="B64" s="2">
        <v>44</v>
      </c>
      <c r="C64" s="2" t="s">
        <v>83</v>
      </c>
      <c r="D64" s="10" t="s">
        <v>79</v>
      </c>
      <c r="E64" s="2" t="s">
        <v>104</v>
      </c>
      <c r="F64" s="9">
        <v>38799</v>
      </c>
      <c r="G64" s="8" t="s">
        <v>147</v>
      </c>
      <c r="H64" s="14">
        <v>20</v>
      </c>
      <c r="I64" s="2">
        <v>75</v>
      </c>
      <c r="J64" s="2">
        <v>184</v>
      </c>
      <c r="K64" s="1"/>
      <c r="L64" s="1"/>
      <c r="M64" s="9" t="s">
        <v>166</v>
      </c>
      <c r="N64" s="2">
        <v>1246</v>
      </c>
      <c r="O64" s="2">
        <v>37.299999999999997</v>
      </c>
      <c r="P64" s="2">
        <v>35.6</v>
      </c>
      <c r="Q64" s="2">
        <v>11.5</v>
      </c>
      <c r="R64" s="2">
        <v>14</v>
      </c>
      <c r="S64" s="2">
        <v>13.6</v>
      </c>
      <c r="T64" s="2">
        <v>9.1</v>
      </c>
      <c r="U64" s="2">
        <v>23.2</v>
      </c>
      <c r="V64" s="2">
        <v>23.4</v>
      </c>
      <c r="W64" s="2">
        <v>23.8</v>
      </c>
      <c r="X64" s="2">
        <v>24.6</v>
      </c>
      <c r="Y64" s="1">
        <f t="shared" si="30"/>
        <v>46.599999999999994</v>
      </c>
      <c r="Z64" s="1">
        <f t="shared" si="31"/>
        <v>48.400000000000006</v>
      </c>
      <c r="AA64" s="1">
        <f t="shared" si="32"/>
        <v>0.96280991735537169</v>
      </c>
      <c r="AB64" s="2">
        <v>18</v>
      </c>
      <c r="AC64" s="2">
        <v>18</v>
      </c>
      <c r="AD64" s="2">
        <v>12</v>
      </c>
      <c r="AE64" s="2">
        <v>14</v>
      </c>
      <c r="AF64" s="2">
        <v>43.5</v>
      </c>
      <c r="AG64" s="1"/>
      <c r="AH64" s="1">
        <f t="shared" si="33"/>
        <v>0</v>
      </c>
      <c r="AI64" s="1"/>
      <c r="AJ64" s="1">
        <f t="shared" si="34"/>
        <v>0</v>
      </c>
      <c r="AK64" s="1"/>
      <c r="AL64" s="1"/>
      <c r="AM64" s="2">
        <v>52.9</v>
      </c>
      <c r="AN64" s="2">
        <v>1931</v>
      </c>
      <c r="AO64" s="2">
        <v>9792</v>
      </c>
      <c r="AP64" s="2">
        <v>2.21</v>
      </c>
      <c r="AQ64" s="1"/>
      <c r="AR64" s="1"/>
      <c r="AS64" s="1"/>
      <c r="AT64" s="1"/>
      <c r="AU64" s="2">
        <v>17.5</v>
      </c>
      <c r="AV64" s="1"/>
      <c r="AW64" s="1"/>
      <c r="AX64" s="1"/>
      <c r="AY64" s="1"/>
      <c r="AZ64" s="1"/>
      <c r="BA64" s="1"/>
      <c r="BB64" s="1"/>
      <c r="BC64" s="1"/>
      <c r="BD64" s="2">
        <v>314</v>
      </c>
      <c r="BE64" s="1">
        <f t="shared" si="16"/>
        <v>4.1866666666666665</v>
      </c>
      <c r="BF64" s="2">
        <v>340</v>
      </c>
      <c r="BG64" s="1">
        <f t="shared" si="5"/>
        <v>4.5333333333333332</v>
      </c>
      <c r="BH64" s="2">
        <v>195</v>
      </c>
      <c r="BI64" s="1">
        <f t="shared" si="6"/>
        <v>2.6</v>
      </c>
      <c r="BJ64" s="2">
        <v>204</v>
      </c>
      <c r="BK64" s="1">
        <f t="shared" si="7"/>
        <v>2.72</v>
      </c>
      <c r="BL64" s="2">
        <v>170</v>
      </c>
      <c r="BM64" s="1">
        <f t="shared" si="8"/>
        <v>2.2666666666666666</v>
      </c>
      <c r="BN64" s="2">
        <v>177</v>
      </c>
      <c r="BO64" s="1">
        <f t="shared" si="9"/>
        <v>2.36</v>
      </c>
      <c r="BP64" s="2">
        <v>157</v>
      </c>
      <c r="BQ64" s="1">
        <f t="shared" si="10"/>
        <v>2.0933333333333333</v>
      </c>
      <c r="BR64" s="2">
        <v>162</v>
      </c>
      <c r="BS64" s="1">
        <f t="shared" si="11"/>
        <v>2.16</v>
      </c>
      <c r="BT64" s="2">
        <v>210</v>
      </c>
      <c r="BU64" s="1">
        <f t="shared" si="12"/>
        <v>2.8</v>
      </c>
      <c r="BV64" s="2">
        <v>211</v>
      </c>
      <c r="BW64" s="1">
        <f t="shared" ref="BW64:BW67" si="39">BV64/I64</f>
        <v>2.8133333333333335</v>
      </c>
      <c r="BX64" s="1">
        <f t="shared" si="14"/>
        <v>1.0769230769230769</v>
      </c>
      <c r="BY64" s="1">
        <f t="shared" si="18"/>
        <v>1.0343137254901962</v>
      </c>
      <c r="BZ64" s="34"/>
      <c r="CA64" s="34"/>
      <c r="CB64" s="34"/>
      <c r="CC64" s="34"/>
      <c r="CD64" s="34"/>
      <c r="CE64" s="34"/>
      <c r="CF64" s="34"/>
      <c r="CG64" s="34"/>
    </row>
    <row r="65" spans="1:85" ht="14.25" customHeight="1" thickBot="1">
      <c r="A65" s="26" t="s">
        <v>162</v>
      </c>
      <c r="B65" s="2">
        <v>42</v>
      </c>
      <c r="C65" s="2" t="s">
        <v>83</v>
      </c>
      <c r="D65" s="10" t="s">
        <v>84</v>
      </c>
      <c r="E65" s="2" t="s">
        <v>131</v>
      </c>
      <c r="F65" s="9">
        <v>38972</v>
      </c>
      <c r="G65" s="12" t="s">
        <v>147</v>
      </c>
      <c r="H65" s="20">
        <v>19</v>
      </c>
      <c r="I65" s="2">
        <v>82.1</v>
      </c>
      <c r="J65" s="2">
        <v>189</v>
      </c>
      <c r="K65" s="1"/>
      <c r="L65" s="9">
        <v>46199</v>
      </c>
      <c r="M65" s="9" t="s">
        <v>166</v>
      </c>
      <c r="N65" s="2">
        <v>1237</v>
      </c>
      <c r="O65" s="2">
        <v>38.200000000000003</v>
      </c>
      <c r="P65" s="2">
        <v>39.700000000000003</v>
      </c>
      <c r="Q65" s="2">
        <v>10.4</v>
      </c>
      <c r="R65" s="2">
        <v>8.6999999999999993</v>
      </c>
      <c r="S65" s="2">
        <v>7.4</v>
      </c>
      <c r="T65" s="2">
        <v>11.1</v>
      </c>
      <c r="U65" s="2">
        <v>27</v>
      </c>
      <c r="V65" s="2">
        <v>24.6</v>
      </c>
      <c r="W65" s="2">
        <v>20.2</v>
      </c>
      <c r="X65" s="2">
        <v>20.9</v>
      </c>
      <c r="Y65" s="1">
        <f t="shared" si="30"/>
        <v>51.6</v>
      </c>
      <c r="Z65" s="1">
        <f t="shared" si="31"/>
        <v>41.099999999999994</v>
      </c>
      <c r="AA65" s="1">
        <f t="shared" si="32"/>
        <v>1.2554744525547448</v>
      </c>
      <c r="AB65" s="2">
        <v>16</v>
      </c>
      <c r="AC65" s="2">
        <v>17</v>
      </c>
      <c r="AD65" s="2">
        <v>11</v>
      </c>
      <c r="AE65" s="2">
        <v>6</v>
      </c>
      <c r="AF65" s="2">
        <v>34.5</v>
      </c>
      <c r="AG65" s="1"/>
      <c r="AH65" s="1">
        <f t="shared" si="33"/>
        <v>0</v>
      </c>
      <c r="AI65" s="1"/>
      <c r="AJ65" s="1">
        <f t="shared" si="34"/>
        <v>0</v>
      </c>
      <c r="AK65" s="1"/>
      <c r="AL65" s="1"/>
      <c r="AM65" s="2">
        <v>38.799999999999997</v>
      </c>
      <c r="AN65" s="2">
        <v>2200</v>
      </c>
      <c r="AO65" s="2">
        <v>22313</v>
      </c>
      <c r="AP65" s="2">
        <v>3.17</v>
      </c>
      <c r="AQ65" s="1"/>
      <c r="AR65" s="1"/>
      <c r="AS65" s="1"/>
      <c r="AT65" s="1"/>
      <c r="AU65" s="2">
        <v>17.5</v>
      </c>
      <c r="AV65" s="1"/>
      <c r="AW65" s="1"/>
      <c r="AX65" s="1"/>
      <c r="AY65" s="1"/>
      <c r="AZ65" s="1"/>
      <c r="BA65" s="1"/>
      <c r="BB65" s="1"/>
      <c r="BC65" s="1"/>
      <c r="BD65" s="4">
        <v>261</v>
      </c>
      <c r="BE65" s="1">
        <f>BD64/I65</f>
        <v>3.8246041412911085</v>
      </c>
      <c r="BF65" s="2">
        <v>197</v>
      </c>
      <c r="BG65" s="1">
        <f t="shared" si="5"/>
        <v>2.3995127892813644</v>
      </c>
      <c r="BH65" s="2">
        <v>187</v>
      </c>
      <c r="BI65" s="1">
        <f t="shared" si="6"/>
        <v>2.2777101096224119</v>
      </c>
      <c r="BJ65" s="2">
        <v>176</v>
      </c>
      <c r="BK65" s="1">
        <f t="shared" si="7"/>
        <v>2.143727161997564</v>
      </c>
      <c r="BL65" s="2">
        <v>152</v>
      </c>
      <c r="BM65" s="1">
        <f t="shared" si="8"/>
        <v>1.851400730816078</v>
      </c>
      <c r="BN65" s="2">
        <v>143</v>
      </c>
      <c r="BO65" s="1">
        <f t="shared" si="9"/>
        <v>1.7417783191230207</v>
      </c>
      <c r="BP65" s="2">
        <v>121</v>
      </c>
      <c r="BQ65" s="1">
        <f t="shared" si="10"/>
        <v>1.4738124238733252</v>
      </c>
      <c r="BR65" s="2">
        <v>104</v>
      </c>
      <c r="BS65" s="1">
        <f t="shared" si="11"/>
        <v>1.2667478684531062</v>
      </c>
      <c r="BT65" s="2">
        <v>203</v>
      </c>
      <c r="BU65" s="1">
        <f t="shared" si="12"/>
        <v>2.4725943970767359</v>
      </c>
      <c r="BV65" s="2">
        <v>180</v>
      </c>
      <c r="BW65" s="1">
        <f t="shared" si="39"/>
        <v>2.1924482338611453</v>
      </c>
      <c r="BX65" s="1">
        <f t="shared" si="14"/>
        <v>1.0855614973262031</v>
      </c>
      <c r="BY65" s="1">
        <f t="shared" si="18"/>
        <v>1.0227272727272727</v>
      </c>
      <c r="BZ65" s="36">
        <v>4.5</v>
      </c>
      <c r="CA65" s="36">
        <v>7.5</v>
      </c>
      <c r="CB65" s="36">
        <v>2</v>
      </c>
      <c r="CC65" s="36">
        <v>6</v>
      </c>
      <c r="CD65" s="36">
        <v>3.5</v>
      </c>
      <c r="CE65" s="36">
        <v>6</v>
      </c>
      <c r="CF65" s="36">
        <v>7.5</v>
      </c>
      <c r="CG65" s="36">
        <v>4</v>
      </c>
    </row>
    <row r="66" spans="1:85" ht="14.25" customHeight="1">
      <c r="A66" s="26" t="s">
        <v>163</v>
      </c>
      <c r="B66" s="2">
        <v>49</v>
      </c>
      <c r="C66" s="2" t="s">
        <v>83</v>
      </c>
      <c r="D66" s="10" t="s">
        <v>79</v>
      </c>
      <c r="E66" s="2" t="s">
        <v>104</v>
      </c>
      <c r="F66" s="9">
        <v>39910</v>
      </c>
      <c r="G66" s="8" t="s">
        <v>147</v>
      </c>
      <c r="H66" s="14">
        <v>17</v>
      </c>
      <c r="I66" s="2">
        <v>75.400000000000006</v>
      </c>
      <c r="J66" s="2">
        <v>184.5</v>
      </c>
      <c r="K66" s="1"/>
      <c r="L66" s="9">
        <v>46199</v>
      </c>
      <c r="M66" s="9" t="s">
        <v>166</v>
      </c>
      <c r="N66" s="2">
        <v>1168</v>
      </c>
      <c r="O66" s="2">
        <v>36.200000000000003</v>
      </c>
      <c r="P66" s="2">
        <v>36.799999999999997</v>
      </c>
      <c r="Q66" s="2">
        <v>13.3</v>
      </c>
      <c r="R66" s="2">
        <v>13.5</v>
      </c>
      <c r="S66" s="2">
        <v>14.9</v>
      </c>
      <c r="T66" s="2">
        <v>13</v>
      </c>
      <c r="U66" s="2">
        <v>30.6</v>
      </c>
      <c r="V66" s="2">
        <v>33.9</v>
      </c>
      <c r="W66" s="2">
        <v>22.3</v>
      </c>
      <c r="X66" s="2">
        <v>23.5</v>
      </c>
      <c r="Y66" s="1">
        <f t="shared" si="30"/>
        <v>64.5</v>
      </c>
      <c r="Z66" s="1">
        <f t="shared" si="31"/>
        <v>45.8</v>
      </c>
      <c r="AA66" s="1">
        <f t="shared" si="32"/>
        <v>1.4082969432314412</v>
      </c>
      <c r="AB66" s="2">
        <v>17</v>
      </c>
      <c r="AC66" s="2">
        <v>17</v>
      </c>
      <c r="AD66" s="2">
        <v>5</v>
      </c>
      <c r="AE66" s="2">
        <v>6</v>
      </c>
      <c r="AF66" s="2">
        <v>15.5</v>
      </c>
      <c r="AG66" s="1"/>
      <c r="AH66" s="1">
        <f t="shared" si="33"/>
        <v>0</v>
      </c>
      <c r="AI66" s="1"/>
      <c r="AJ66" s="1">
        <f t="shared" si="34"/>
        <v>0</v>
      </c>
      <c r="AK66" s="1"/>
      <c r="AL66" s="1"/>
      <c r="AM66" s="2">
        <v>39.799999999999997</v>
      </c>
      <c r="AN66" s="2">
        <v>1700</v>
      </c>
      <c r="AO66" s="2">
        <v>8696</v>
      </c>
      <c r="AP66" s="2">
        <v>2.68</v>
      </c>
      <c r="AQ66" s="1"/>
      <c r="AR66" s="1"/>
      <c r="AS66" s="1"/>
      <c r="AT66" s="1"/>
      <c r="AU66" s="2">
        <v>17</v>
      </c>
      <c r="AV66" s="1"/>
      <c r="AW66" s="1"/>
      <c r="AX66" s="1"/>
      <c r="AY66" s="1"/>
      <c r="AZ66" s="1"/>
      <c r="BA66" s="1"/>
      <c r="BB66" s="1"/>
      <c r="BC66" s="1"/>
      <c r="BD66" s="2">
        <v>214</v>
      </c>
      <c r="BE66" s="1">
        <f t="shared" ref="BE66:BE67" si="40">BD66/I66</f>
        <v>2.8381962864721482</v>
      </c>
      <c r="BF66" s="2">
        <v>281</v>
      </c>
      <c r="BG66" s="1">
        <f t="shared" si="5"/>
        <v>3.7267904509283816</v>
      </c>
      <c r="BH66" s="2">
        <v>159</v>
      </c>
      <c r="BI66" s="1">
        <f t="shared" si="6"/>
        <v>2.1087533156498672</v>
      </c>
      <c r="BJ66" s="2">
        <v>180</v>
      </c>
      <c r="BK66" s="1">
        <f t="shared" si="7"/>
        <v>2.3872679045092835</v>
      </c>
      <c r="BL66" s="2">
        <v>148</v>
      </c>
      <c r="BM66" s="1">
        <f t="shared" si="8"/>
        <v>1.9628647214854109</v>
      </c>
      <c r="BN66" s="2">
        <v>155</v>
      </c>
      <c r="BO66" s="1">
        <f t="shared" si="9"/>
        <v>2.0557029177718831</v>
      </c>
      <c r="BP66" s="2">
        <v>152</v>
      </c>
      <c r="BQ66" s="1">
        <f t="shared" si="10"/>
        <v>2.0159151193633953</v>
      </c>
      <c r="BR66" s="2">
        <v>114</v>
      </c>
      <c r="BS66" s="1">
        <f t="shared" si="11"/>
        <v>1.5119363395225462</v>
      </c>
      <c r="BT66" s="2">
        <v>175</v>
      </c>
      <c r="BU66" s="1">
        <f t="shared" si="12"/>
        <v>2.3209549071618034</v>
      </c>
      <c r="BV66" s="2">
        <v>175</v>
      </c>
      <c r="BW66" s="1">
        <f t="shared" si="39"/>
        <v>2.3209549071618034</v>
      </c>
      <c r="BX66" s="1">
        <f t="shared" si="14"/>
        <v>1.10062893081761</v>
      </c>
      <c r="BY66" s="1">
        <f t="shared" si="18"/>
        <v>0.97222222222222221</v>
      </c>
    </row>
    <row r="67" spans="1:85" ht="14.25" customHeight="1">
      <c r="A67" s="26" t="s">
        <v>164</v>
      </c>
      <c r="B67" s="2">
        <v>56</v>
      </c>
      <c r="C67" s="2" t="s">
        <v>83</v>
      </c>
      <c r="D67" s="10" t="s">
        <v>84</v>
      </c>
      <c r="E67" s="2" t="s">
        <v>87</v>
      </c>
      <c r="F67" s="9">
        <v>39821</v>
      </c>
      <c r="G67" s="12" t="s">
        <v>147</v>
      </c>
      <c r="H67" s="8">
        <v>17</v>
      </c>
      <c r="I67" s="2">
        <v>66</v>
      </c>
      <c r="J67" s="2">
        <v>173</v>
      </c>
      <c r="K67" s="1"/>
      <c r="L67" s="1"/>
      <c r="M67" s="9" t="s">
        <v>166</v>
      </c>
      <c r="N67" s="2">
        <v>825</v>
      </c>
      <c r="O67" s="1"/>
      <c r="P67" s="1"/>
      <c r="Q67" s="1"/>
      <c r="R67" s="1"/>
      <c r="S67" s="1"/>
      <c r="T67" s="1"/>
      <c r="U67" s="1"/>
      <c r="V67" s="1"/>
      <c r="W67" s="1"/>
      <c r="X67" s="1"/>
      <c r="Y67" s="1">
        <f t="shared" si="30"/>
        <v>0</v>
      </c>
      <c r="Z67" s="1">
        <f t="shared" si="31"/>
        <v>0</v>
      </c>
      <c r="AA67" s="1" t="e">
        <f t="shared" si="32"/>
        <v>#DIV/0!</v>
      </c>
      <c r="AB67" s="1"/>
      <c r="AC67" s="1"/>
      <c r="AD67" s="1"/>
      <c r="AE67" s="1"/>
      <c r="AF67" s="1"/>
      <c r="AG67" s="1"/>
      <c r="AH67" s="1">
        <f t="shared" si="33"/>
        <v>0</v>
      </c>
      <c r="AI67" s="1"/>
      <c r="AJ67" s="1">
        <f t="shared" si="34"/>
        <v>0</v>
      </c>
      <c r="AK67" s="1"/>
      <c r="AL67" s="1"/>
      <c r="AM67" s="2">
        <v>34</v>
      </c>
      <c r="AN67" s="2">
        <v>1621</v>
      </c>
      <c r="AO67" s="2">
        <v>7352</v>
      </c>
      <c r="AP67" s="2">
        <v>2.89</v>
      </c>
      <c r="AQ67" s="1"/>
      <c r="AR67" s="1"/>
      <c r="AS67" s="1"/>
      <c r="AT67" s="1"/>
      <c r="AU67" s="2">
        <v>17.5</v>
      </c>
      <c r="AV67" s="1"/>
      <c r="AW67" s="1"/>
      <c r="AX67" s="1"/>
      <c r="AY67" s="1"/>
      <c r="AZ67" s="1"/>
      <c r="BA67" s="1"/>
      <c r="BB67" s="1"/>
      <c r="BC67" s="1"/>
      <c r="BD67" s="1"/>
      <c r="BE67" s="1">
        <f t="shared" si="40"/>
        <v>0</v>
      </c>
      <c r="BF67" s="1"/>
      <c r="BG67" s="1">
        <f t="shared" si="5"/>
        <v>0</v>
      </c>
      <c r="BH67" s="1"/>
      <c r="BI67" s="1">
        <f t="shared" si="6"/>
        <v>0</v>
      </c>
      <c r="BJ67" s="1"/>
      <c r="BK67" s="1">
        <f t="shared" si="7"/>
        <v>0</v>
      </c>
      <c r="BL67" s="1"/>
      <c r="BM67" s="1">
        <f t="shared" si="8"/>
        <v>0</v>
      </c>
      <c r="BO67" s="1">
        <f t="shared" si="9"/>
        <v>0</v>
      </c>
      <c r="BP67" s="1"/>
      <c r="BQ67" s="1">
        <f t="shared" si="10"/>
        <v>0</v>
      </c>
      <c r="BR67" s="1"/>
      <c r="BS67" s="1">
        <f t="shared" si="11"/>
        <v>0</v>
      </c>
      <c r="BT67" s="1"/>
      <c r="BU67" s="1">
        <f t="shared" si="12"/>
        <v>0</v>
      </c>
      <c r="BV67" s="1"/>
      <c r="BW67" s="1">
        <f t="shared" si="39"/>
        <v>0</v>
      </c>
      <c r="BX67" s="1" t="e">
        <f t="shared" si="14"/>
        <v>#DIV/0!</v>
      </c>
      <c r="BY67" s="1" t="e">
        <f t="shared" si="18"/>
        <v>#DIV/0!</v>
      </c>
    </row>
    <row r="68" spans="1:85" ht="14.25" customHeight="1">
      <c r="A68" s="2" t="s">
        <v>165</v>
      </c>
      <c r="B68" s="2">
        <v>73</v>
      </c>
      <c r="C68" s="2" t="s">
        <v>83</v>
      </c>
      <c r="D68" s="10" t="s">
        <v>84</v>
      </c>
      <c r="E68" s="2" t="s">
        <v>87</v>
      </c>
      <c r="F68" s="9">
        <v>39244</v>
      </c>
      <c r="G68" s="8" t="s">
        <v>122</v>
      </c>
      <c r="H68" s="12">
        <v>19</v>
      </c>
      <c r="I68" s="2">
        <v>80.099999999999994</v>
      </c>
      <c r="J68" s="2">
        <v>183</v>
      </c>
      <c r="K68" s="1"/>
      <c r="L68" s="27">
        <v>46197</v>
      </c>
      <c r="M68" s="9" t="s">
        <v>166</v>
      </c>
      <c r="N68" s="2">
        <v>1181</v>
      </c>
      <c r="O68" s="1"/>
      <c r="P68" s="1"/>
      <c r="Q68" s="1"/>
      <c r="R68" s="1"/>
      <c r="S68" s="1"/>
      <c r="T68" s="1"/>
      <c r="U68" s="1"/>
      <c r="V68" s="1"/>
      <c r="W68" s="1"/>
      <c r="X68" s="1"/>
      <c r="Y68" s="1">
        <f t="shared" si="30"/>
        <v>0</v>
      </c>
      <c r="Z68" s="1">
        <f t="shared" si="31"/>
        <v>0</v>
      </c>
      <c r="AA68" s="1" t="e">
        <f t="shared" si="32"/>
        <v>#DIV/0!</v>
      </c>
      <c r="AB68" s="1"/>
      <c r="AC68" s="1"/>
      <c r="AD68" s="1"/>
      <c r="AE68" s="1"/>
      <c r="AF68" s="1"/>
      <c r="AG68" s="1"/>
      <c r="AH68" s="1">
        <f t="shared" si="33"/>
        <v>0</v>
      </c>
      <c r="AI68" s="1"/>
      <c r="AJ68" s="1"/>
      <c r="AK68" s="1"/>
      <c r="AL68" s="1"/>
      <c r="AM68" s="2">
        <v>37.200000000000003</v>
      </c>
      <c r="AN68" s="2">
        <v>1817</v>
      </c>
      <c r="AO68" s="2">
        <v>7078</v>
      </c>
      <c r="AP68" s="2">
        <v>1.94</v>
      </c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85" ht="14.25" customHeight="1">
      <c r="A69" s="5"/>
      <c r="B69" s="6">
        <v>48</v>
      </c>
      <c r="C69" s="6" t="s">
        <v>83</v>
      </c>
      <c r="D69" s="6" t="s">
        <v>84</v>
      </c>
      <c r="E69" s="6" t="s">
        <v>87</v>
      </c>
      <c r="F69" s="15">
        <v>39832</v>
      </c>
      <c r="G69" s="8" t="s">
        <v>81</v>
      </c>
      <c r="H69" s="6">
        <v>17</v>
      </c>
      <c r="I69" s="2">
        <v>63.7</v>
      </c>
      <c r="J69" s="2">
        <v>167</v>
      </c>
      <c r="K69" s="1"/>
      <c r="L69" s="27">
        <v>46214</v>
      </c>
      <c r="M69" s="9"/>
      <c r="N69" s="1"/>
      <c r="O69" s="1"/>
      <c r="P69" s="1"/>
      <c r="Q69" s="2">
        <v>11</v>
      </c>
      <c r="R69" s="2">
        <v>7.9</v>
      </c>
      <c r="S69" s="2">
        <v>9.1</v>
      </c>
      <c r="T69" s="2">
        <v>7.2</v>
      </c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85" ht="14.25" customHeight="1">
      <c r="A70" s="5"/>
      <c r="B70" s="6">
        <v>87</v>
      </c>
      <c r="C70" s="10" t="s">
        <v>83</v>
      </c>
      <c r="D70" s="10" t="s">
        <v>93</v>
      </c>
      <c r="E70" s="10" t="s">
        <v>94</v>
      </c>
      <c r="F70" s="17">
        <v>39041</v>
      </c>
      <c r="G70" s="12" t="s">
        <v>81</v>
      </c>
      <c r="H70" s="13">
        <v>19</v>
      </c>
      <c r="I70" s="1"/>
      <c r="J70" s="1"/>
      <c r="K70" s="1"/>
      <c r="L70" s="1"/>
      <c r="M70" s="9"/>
      <c r="N70" s="1"/>
      <c r="O70" s="1"/>
      <c r="P70" s="1"/>
      <c r="Q70" s="2">
        <v>9</v>
      </c>
      <c r="R70" s="2">
        <v>6.8</v>
      </c>
      <c r="S70" s="2">
        <v>10.6</v>
      </c>
      <c r="T70" s="2">
        <v>6.4</v>
      </c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85" ht="14.25" customHeight="1">
      <c r="A71" s="5"/>
      <c r="B71" s="6">
        <v>30</v>
      </c>
      <c r="C71" s="6" t="s">
        <v>83</v>
      </c>
      <c r="D71" s="6" t="s">
        <v>93</v>
      </c>
      <c r="E71" s="6" t="s">
        <v>106</v>
      </c>
      <c r="F71" s="15">
        <v>37888</v>
      </c>
      <c r="G71" s="8" t="s">
        <v>81</v>
      </c>
      <c r="H71" s="5">
        <v>22</v>
      </c>
      <c r="I71" s="1"/>
      <c r="J71" s="1"/>
      <c r="K71" s="1"/>
      <c r="L71" s="1"/>
      <c r="M71" s="9"/>
      <c r="N71" s="1"/>
      <c r="O71" s="2">
        <v>40.299999999999997</v>
      </c>
      <c r="P71" s="2">
        <v>31.9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85" ht="14.25" customHeight="1">
      <c r="A72" s="5"/>
      <c r="B72" s="6">
        <v>18</v>
      </c>
      <c r="C72" s="6" t="s">
        <v>78</v>
      </c>
      <c r="D72" s="6" t="s">
        <v>79</v>
      </c>
      <c r="E72" s="6" t="s">
        <v>80</v>
      </c>
      <c r="F72" s="7">
        <v>35780</v>
      </c>
      <c r="G72" s="8" t="s">
        <v>81</v>
      </c>
      <c r="H72" s="5">
        <v>28</v>
      </c>
      <c r="I72" s="1"/>
      <c r="J72" s="1"/>
      <c r="K72" s="1"/>
      <c r="L72" s="28">
        <v>46219</v>
      </c>
      <c r="M72" s="29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85" ht="14.25" customHeight="1">
      <c r="A73" s="5"/>
      <c r="B73" s="6"/>
      <c r="C73" s="6"/>
      <c r="D73" s="6"/>
      <c r="E73" s="6"/>
      <c r="F73" s="7"/>
      <c r="G73" s="8"/>
      <c r="H73" s="5"/>
      <c r="I73" s="1"/>
      <c r="J73" s="1"/>
      <c r="K73" s="1"/>
      <c r="L73" s="2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85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8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85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85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85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85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85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1:77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1:77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1:77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1:77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1:77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1:77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1:7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1:77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1:77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spans="1:77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spans="1:77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spans="1:77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spans="1:77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spans="1:77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spans="1:77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spans="1:77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spans="1:7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spans="1:77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spans="1:77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spans="1:77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spans="1:77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spans="1:77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spans="1:77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spans="1:77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spans="1:77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spans="1:77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spans="1:7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spans="1:77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spans="1:77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spans="1:77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spans="1:77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spans="1:77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spans="1:77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spans="1:77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spans="1:77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spans="1:77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spans="1:7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spans="1:77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spans="1:77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spans="1:77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spans="1:77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spans="1:77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spans="1:77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spans="1:77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spans="1:77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spans="1:77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spans="1:7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spans="1:77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spans="1:77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spans="1:77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spans="1:77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spans="1:77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spans="1:77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spans="1:77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spans="1:77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spans="1:77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spans="1:7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spans="1:77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spans="1:77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spans="1:77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spans="1:77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spans="1:77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spans="1:77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spans="1:77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spans="1:77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spans="1:77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spans="1:7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spans="1:77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spans="1:77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spans="1:77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spans="1:77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spans="1:7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spans="1:7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spans="1:7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spans="1:7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spans="1:7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spans="1:7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spans="1:7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spans="1:7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spans="1:7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spans="1:7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spans="1:7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spans="1:7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spans="1:7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spans="1:7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spans="1:7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spans="1:7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spans="1:7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spans="1:7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spans="1:7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spans="1:7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spans="1:7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spans="1:7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spans="1:7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spans="1:7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spans="1:7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spans="1: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spans="1:7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spans="1:7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spans="1:7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spans="1:7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spans="1:7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spans="1:7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spans="1:7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spans="1:7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spans="1:7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spans="1:7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spans="1:7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spans="1:7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spans="1:7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spans="1:7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spans="1:7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spans="1:7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spans="1:7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spans="1:7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spans="1:7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spans="1:7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spans="1:7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spans="1:7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spans="1:7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spans="1:7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spans="1:7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spans="1:7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spans="1:7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spans="1:7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spans="1:7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spans="1:7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spans="1:7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spans="1:7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spans="1:7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spans="1:7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spans="1:7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spans="1:7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spans="1:7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spans="1:7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spans="1:7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spans="1:7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spans="1:7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spans="1:7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spans="1:7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spans="1:7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spans="1:7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spans="1:7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spans="1:7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spans="1:7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spans="1:7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spans="1:7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spans="1:7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spans="1:7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spans="1:7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spans="1:7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spans="1:7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spans="1:7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spans="1:7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spans="1:7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spans="1:7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spans="1:7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spans="1:7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spans="1:7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spans="1:7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spans="1:7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spans="1:7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spans="1:7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spans="1:7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spans="1:7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spans="1:7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spans="1:7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spans="1:7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spans="1:7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spans="1:7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spans="1:7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spans="1:7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spans="1:7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spans="1:7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spans="1:7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spans="1:7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spans="1:7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spans="1:7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spans="1:7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spans="1:7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spans="1:7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spans="1:7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spans="1:7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spans="1:7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</row>
    <row r="265" spans="1:7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</row>
    <row r="266" spans="1:7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</row>
    <row r="267" spans="1:7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</row>
    <row r="268" spans="1:77" ht="14.25" customHeight="1"/>
    <row r="269" spans="1:77" ht="14.25" customHeight="1"/>
    <row r="270" spans="1:77" ht="14.25" customHeight="1"/>
    <row r="271" spans="1:77" ht="14.25" customHeight="1"/>
    <row r="272" spans="1:77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2026-07-29T12:55:25Z</dcterms:modified>
</cp:coreProperties>
</file>