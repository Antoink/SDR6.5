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E590D83C-4CE0-4481-B973-68C51117217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BD60" i="1" l="1"/>
  <c r="BN62" i="1"/>
  <c r="BX8" i="1"/>
  <c r="BX9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AH64" i="1"/>
  <c r="AA64" i="1"/>
  <c r="Z64" i="1"/>
  <c r="Y64" i="1"/>
  <c r="BX63" i="1"/>
  <c r="BW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T62" i="1"/>
  <c r="BR62" i="1"/>
  <c r="BP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T60" i="1"/>
  <c r="BR60" i="1"/>
  <c r="BP60" i="1"/>
  <c r="BN60" i="1"/>
  <c r="BL60" i="1"/>
  <c r="BJ60" i="1"/>
  <c r="BH60" i="1"/>
  <c r="BF60" i="1"/>
  <c r="AJ60" i="1"/>
  <c r="AH60" i="1"/>
  <c r="Z60" i="1"/>
  <c r="Y60" i="1"/>
  <c r="AA60" i="1" s="1"/>
  <c r="BX59" i="1"/>
  <c r="BW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BX15" i="1"/>
  <c r="BW15" i="1"/>
  <c r="BT15" i="1"/>
  <c r="BR15" i="1"/>
  <c r="BP15" i="1"/>
  <c r="BN15" i="1"/>
  <c r="BL15" i="1"/>
  <c r="BJ15" i="1"/>
  <c r="BH15" i="1"/>
  <c r="BF15" i="1"/>
  <c r="BD15" i="1"/>
  <c r="AJ15" i="1"/>
  <c r="AH15" i="1"/>
  <c r="Z15" i="1"/>
  <c r="Y15" i="1"/>
  <c r="AA15" i="1" s="1"/>
  <c r="BX14" i="1"/>
  <c r="BW14" i="1"/>
  <c r="BT14" i="1"/>
  <c r="BR14" i="1"/>
  <c r="BP14" i="1"/>
  <c r="BN14" i="1"/>
  <c r="BL14" i="1"/>
  <c r="BJ14" i="1"/>
  <c r="BH14" i="1"/>
  <c r="BF14" i="1"/>
  <c r="BD14" i="1"/>
  <c r="AJ14" i="1"/>
  <c r="AH14" i="1"/>
  <c r="Z14" i="1"/>
  <c r="Y14" i="1"/>
  <c r="AA14" i="1" s="1"/>
  <c r="BX13" i="1"/>
  <c r="BW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W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W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<sst xmlns="http://schemas.openxmlformats.org/spreadsheetml/2006/main" count="331" uniqueCount="165">
  <si>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</si>
  <si>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</si>
  <si>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</si>
  <si>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</si>
  <si>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</si>
  <si>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</si>
  <si>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</si>
  <si>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</si>
  <si>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</si>
  <si>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</si>
  <si>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</si>
  <si>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</si>
  <si>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</si>
  <si>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</si>
  <si>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</si>
  <si>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</si>
  <si>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</si>
  <si>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</si>
  <si>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</si>
  <si>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</si>
  <si>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</si>
  <si>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</si>
  <si>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</si>
  <si>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</si>
  <si>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</si>
  <si>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</si>
  <si>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</si>
  <si>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</si>
  <si>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</si>
  <si>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</si>
  <si>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</si>
  <si>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</si>
  <si>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</si>
  <si>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</si>
  <si>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</si>
  <si>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</si>
  <si>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</si>
  <si>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</si>
  <si>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</si>
  <si>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</si>
  <si>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</si>
  <si>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</si>
  <si>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</si>
  <si>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</si>
  <si>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</si>
  <si>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</si>
  <si>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</si>
  <si>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</si>
  <si>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</si>
  <si>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</si>
  <si>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</si>
  <si>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</si>
  <si>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</si>
  <si>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</si>
  <si>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</si>
  <si>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</si>
  <si>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</si>
  <si>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</si>
  <si>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</si>
  <si>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</si>
  <si>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</si>
  <si>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</si>
  <si>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</si>
  <si>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</si>
  <si>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</si>
  <si>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</si>
  <si>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</si>
  <si>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</si>
  <si>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</si>
  <si>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</si>
  <si>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</si>
  <si>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</si>
  <si>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</si>
  <si>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</si>
  <si>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</si>
  <si>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</si>
  <si>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</si>
  <si>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</si>
  <si>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</si>
  <si>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</si>
  <si>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</si>
  <si>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</si>
  <si>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</si>
  <si>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</si>
  <si>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</si>
  <si>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</si>
  <si>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</si>
  <si>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</si>
  <si>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</si>
  <si>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</si>
  <si>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</si>
  <si>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</si>
  <si>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</si>
  <si>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</si>
  <si>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</si>
  <si>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</si>
  <si>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</si>
  <si>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</si>
  <si>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</si>
  <si>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</si>
  <si>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</si>
  <si>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</si>
  <si>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</si>
  <si>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</si>
  <si>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</si>
  <si>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</si>
  <si>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</si>
  <si>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</si>
  <si>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</si>
  <si>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</si>
  <si>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</si>
  <si>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</si>
  <si>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</si>
  <si>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</si>
  <si>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</si>
  <si>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</si>
  <si>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</si>
  <si>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</si>
  <si>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</si>
  <si>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</si>
  <si>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</si>
  <si>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</si>
  <si>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</si>
  <si>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</si>
  <si>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</si>
  <si>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</si>
  <si>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</si>
  <si>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</si>
  <si>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</si>
  <si>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</si>
  <si>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</si>
  <si>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</si>
  <si>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Mil</t>
  </si>
  <si>
    <t>MOSEYI</t>
  </si>
  <si>
    <t>NDZANA Anthony</t>
  </si>
  <si>
    <t xml:space="preserve">   </t>
  </si>
  <si>
    <t>NOSEL Adam</t>
  </si>
  <si>
    <t>ATT</t>
  </si>
  <si>
    <t>SOLVET Anddrys</t>
  </si>
  <si>
    <t>Exc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</si>
  <si>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</si>
  <si>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</si>
  <si>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</si>
  <si>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</si>
  <si>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</si>
  <si>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</si>
  <si>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</si>
  <si>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</si>
  <si>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Lat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</si>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</sst>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8" fillId="0" borderId="0" xfId="0" applyFont="1"/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14" fontId="4" fillId="4" borderId="5" xfId="0" applyNumberFormat="1" applyFont="1" applyFill="1" applyBorder="1" applyAlignment="1">
      <alignment horizontal="center" wrapText="1"/>
    </xf>
    <xf numFmtId="14" fontId="4" fillId="5" borderId="6" xfId="0" applyNumberFormat="1" applyFont="1" applyFill="1" applyBorder="1" applyAlignment="1">
      <alignment horizontal="center" wrapText="1"/>
    </xf>
    <xf numFmtId="14" fontId="4" fillId="4" borderId="6" xfId="0" applyNumberFormat="1" applyFont="1" applyFill="1" applyBorder="1" applyAlignment="1">
      <alignment horizontal="center" wrapText="1"/>
    </xf>
    <xf numFmtId="14" fontId="4" fillId="4" borderId="3" xfId="0" applyNumberFormat="1" applyFont="1" applyFill="1" applyBorder="1" applyAlignment="1">
      <alignment horizontal="center" vertical="center" wrapText="1"/>
    </xf>
    <xf numFmtId="14" fontId="4" fillId="5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F2" sqref="F2:F64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164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 thickBot="1">
      <c r="A2" s="4" t="s">
        <v>75</v>
      </c>
      <c r="B2" s="5"/>
      <c r="C2" s="5" t="s">
        <v>76</v>
      </c>
      <c r="D2" s="5" t="s">
        <v>77</v>
      </c>
      <c r="E2" s="5" t="s">
        <v>78</v>
      </c>
      <c r="F2" s="28">
        <v>35780</v>
      </c>
      <c r="G2" s="2" t="s">
        <v>79</v>
      </c>
      <c r="H2" s="4">
        <v>28</v>
      </c>
      <c r="I2" s="22">
        <v>75.599999999999994</v>
      </c>
      <c r="J2" s="18">
        <v>173.2</v>
      </c>
      <c r="K2" s="1"/>
      <c r="L2" s="1"/>
      <c r="M2" s="6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18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64" si="14">BU2/I2</f>
        <v>2.0105820105820107</v>
      </c>
      <c r="BW2" s="1">
        <f t="shared" ref="BW2:BW11" si="15">BS2/BG2</f>
        <v>0.73224043715846998</v>
      </c>
      <c r="BX2" s="1">
        <f t="shared" ref="BX2:BX9" si="16">BU2/BI2</f>
        <v>0.97435897435897434</v>
      </c>
    </row>
    <row r="3" spans="1:76" ht="14.25" customHeight="1" thickBot="1">
      <c r="A3" s="7" t="s">
        <v>80</v>
      </c>
      <c r="B3" s="7"/>
      <c r="C3" s="7" t="s">
        <v>81</v>
      </c>
      <c r="D3" s="7" t="s">
        <v>82</v>
      </c>
      <c r="E3" s="7" t="s">
        <v>83</v>
      </c>
      <c r="F3" s="29">
        <v>38135</v>
      </c>
      <c r="G3" s="2" t="s">
        <v>79</v>
      </c>
      <c r="H3" s="8">
        <v>22</v>
      </c>
      <c r="I3" s="23"/>
      <c r="J3" s="26"/>
      <c r="K3" s="1"/>
      <c r="L3" s="1"/>
      <c r="M3" s="6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9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 thickBot="1">
      <c r="A4" s="5" t="s">
        <v>84</v>
      </c>
      <c r="B4" s="5"/>
      <c r="C4" s="5" t="s">
        <v>81</v>
      </c>
      <c r="D4" s="5" t="s">
        <v>82</v>
      </c>
      <c r="E4" s="5" t="s">
        <v>85</v>
      </c>
      <c r="F4" s="30">
        <v>37263</v>
      </c>
      <c r="G4" s="2" t="s">
        <v>79</v>
      </c>
      <c r="H4" s="4">
        <v>24</v>
      </c>
      <c r="I4" s="24"/>
      <c r="J4" s="27"/>
      <c r="K4" s="1"/>
      <c r="L4" s="1"/>
      <c r="M4" s="6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0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 thickBot="1">
      <c r="A5" s="8" t="s">
        <v>86</v>
      </c>
      <c r="B5" s="7"/>
      <c r="C5" s="7" t="s">
        <v>76</v>
      </c>
      <c r="D5" s="7" t="s">
        <v>77</v>
      </c>
      <c r="E5" s="7" t="s">
        <v>78</v>
      </c>
      <c r="F5" s="29">
        <v>39213</v>
      </c>
      <c r="G5" s="2" t="s">
        <v>79</v>
      </c>
      <c r="H5" s="8">
        <v>19</v>
      </c>
      <c r="I5" s="25">
        <v>71.599999999999994</v>
      </c>
      <c r="J5" s="21">
        <v>179.6</v>
      </c>
      <c r="K5" s="1"/>
      <c r="L5" s="1"/>
      <c r="M5" s="6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9">
        <v>14.1</v>
      </c>
      <c r="AS5" s="9">
        <v>16.3</v>
      </c>
      <c r="AT5" s="1"/>
      <c r="AU5" s="21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 thickBot="1">
      <c r="A6" s="5" t="s">
        <v>87</v>
      </c>
      <c r="B6" s="5"/>
      <c r="C6" s="5" t="s">
        <v>81</v>
      </c>
      <c r="D6" s="5" t="s">
        <v>82</v>
      </c>
      <c r="E6" s="5" t="s">
        <v>83</v>
      </c>
      <c r="F6" s="30">
        <v>37975</v>
      </c>
      <c r="G6" s="2" t="s">
        <v>79</v>
      </c>
      <c r="H6" s="4">
        <v>22</v>
      </c>
      <c r="I6" s="24"/>
      <c r="J6" s="27"/>
      <c r="K6" s="1"/>
      <c r="L6" s="1"/>
      <c r="M6" s="6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0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 thickBot="1">
      <c r="A7" s="8" t="s">
        <v>88</v>
      </c>
      <c r="B7" s="7"/>
      <c r="C7" s="7" t="s">
        <v>76</v>
      </c>
      <c r="D7" s="7" t="s">
        <v>82</v>
      </c>
      <c r="E7" s="7" t="s">
        <v>85</v>
      </c>
      <c r="F7" s="29">
        <v>39689</v>
      </c>
      <c r="G7" s="2" t="s">
        <v>79</v>
      </c>
      <c r="H7" s="8">
        <v>17</v>
      </c>
      <c r="I7" s="25">
        <v>70.8</v>
      </c>
      <c r="J7" s="21">
        <v>183</v>
      </c>
      <c r="K7" s="1"/>
      <c r="L7" s="1"/>
      <c r="M7" s="6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9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 thickBot="1">
      <c r="A8" s="5" t="s">
        <v>90</v>
      </c>
      <c r="B8" s="5"/>
      <c r="C8" s="5" t="s">
        <v>81</v>
      </c>
      <c r="D8" s="5" t="s">
        <v>82</v>
      </c>
      <c r="E8" s="5" t="s">
        <v>83</v>
      </c>
      <c r="F8" s="30">
        <v>36473</v>
      </c>
      <c r="G8" s="2" t="s">
        <v>79</v>
      </c>
      <c r="H8" s="4">
        <v>26</v>
      </c>
      <c r="I8" s="22">
        <v>81</v>
      </c>
      <c r="J8" s="18">
        <v>180.7</v>
      </c>
      <c r="K8" s="2"/>
      <c r="L8" s="2"/>
      <c r="M8" s="6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18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>
        <f t="shared" si="14"/>
        <v>3.2839506172839505</v>
      </c>
      <c r="BW8" s="1">
        <f t="shared" si="15"/>
        <v>1.3301435406698565</v>
      </c>
      <c r="BX8" s="1">
        <f t="shared" si="16"/>
        <v>1.2666666666666666</v>
      </c>
    </row>
    <row r="9" spans="1:76" ht="14.25" customHeight="1" thickBot="1">
      <c r="A9" s="8" t="s">
        <v>91</v>
      </c>
      <c r="B9" s="7"/>
      <c r="C9" s="7" t="s">
        <v>81</v>
      </c>
      <c r="D9" s="7" t="s">
        <v>92</v>
      </c>
      <c r="E9" s="7" t="s">
        <v>93</v>
      </c>
      <c r="F9" s="29">
        <v>38150</v>
      </c>
      <c r="G9" s="2" t="s">
        <v>79</v>
      </c>
      <c r="H9" s="8">
        <v>22</v>
      </c>
      <c r="I9" s="25">
        <v>72.2</v>
      </c>
      <c r="J9" s="21">
        <v>180.4</v>
      </c>
      <c r="K9" s="1"/>
      <c r="L9" s="1"/>
      <c r="M9" s="6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9">
        <v>12.6</v>
      </c>
      <c r="AS9" s="9">
        <v>15.5</v>
      </c>
      <c r="AT9" s="1"/>
      <c r="AU9" s="21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0">
        <v>171</v>
      </c>
      <c r="BV9" s="1">
        <f t="shared" si="14"/>
        <v>2.3684210526315788</v>
      </c>
      <c r="BW9" s="1">
        <f t="shared" si="15"/>
        <v>0.88265306122448983</v>
      </c>
      <c r="BX9" s="1">
        <f t="shared" si="16"/>
        <v>0.88601036269430056</v>
      </c>
    </row>
    <row r="10" spans="1:76" ht="14.25" customHeight="1" thickBot="1">
      <c r="A10" s="4" t="s">
        <v>94</v>
      </c>
      <c r="B10" s="5"/>
      <c r="C10" s="5" t="s">
        <v>81</v>
      </c>
      <c r="D10" s="5" t="s">
        <v>82</v>
      </c>
      <c r="E10" s="5" t="s">
        <v>85</v>
      </c>
      <c r="F10" s="30">
        <v>39832</v>
      </c>
      <c r="G10" s="2" t="s">
        <v>79</v>
      </c>
      <c r="H10" s="5">
        <v>17</v>
      </c>
      <c r="I10" s="22">
        <v>63.7</v>
      </c>
      <c r="J10" s="18">
        <v>167</v>
      </c>
      <c r="K10" s="1"/>
      <c r="L10" s="1"/>
      <c r="M10" s="6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18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si="14"/>
        <v>2.5384615384615383</v>
      </c>
      <c r="BW10" s="1">
        <f t="shared" si="15"/>
        <v>1.0497835497835499</v>
      </c>
      <c r="BX10" s="1">
        <f t="shared" ref="BX10:BX11" si="17">BU10/BI10</f>
        <v>1.1533523537803139</v>
      </c>
    </row>
    <row r="11" spans="1:76" ht="14.25" customHeight="1" thickBot="1">
      <c r="A11" s="8" t="s">
        <v>95</v>
      </c>
      <c r="B11" s="7"/>
      <c r="C11" s="7" t="s">
        <v>81</v>
      </c>
      <c r="D11" s="7" t="s">
        <v>92</v>
      </c>
      <c r="E11" s="7" t="s">
        <v>96</v>
      </c>
      <c r="F11" s="29">
        <v>36885</v>
      </c>
      <c r="G11" s="2" t="s">
        <v>79</v>
      </c>
      <c r="H11" s="8">
        <v>25</v>
      </c>
      <c r="I11" s="25">
        <v>86.1</v>
      </c>
      <c r="J11" s="21">
        <v>186.6</v>
      </c>
      <c r="K11" s="1"/>
      <c r="L11" s="1"/>
      <c r="M11" s="6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1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4"/>
        <v>2.4274099883855982</v>
      </c>
      <c r="BW11" s="1">
        <f t="shared" si="15"/>
        <v>1.2285714285714286</v>
      </c>
      <c r="BX11" s="1">
        <f t="shared" si="17"/>
        <v>0.98122065727699526</v>
      </c>
    </row>
    <row r="12" spans="1:76" ht="14.25" customHeight="1" thickBot="1">
      <c r="A12" s="7" t="s">
        <v>97</v>
      </c>
      <c r="B12" s="7"/>
      <c r="C12" s="7" t="s">
        <v>76</v>
      </c>
      <c r="D12" s="7" t="s">
        <v>77</v>
      </c>
      <c r="E12" s="7" t="s">
        <v>78</v>
      </c>
      <c r="F12" s="29">
        <v>37543</v>
      </c>
      <c r="G12" s="2" t="s">
        <v>79</v>
      </c>
      <c r="H12" s="7">
        <v>23</v>
      </c>
      <c r="I12" s="24"/>
      <c r="J12" s="27"/>
      <c r="K12" s="1"/>
      <c r="L12" s="1"/>
      <c r="M12" s="6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0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 t="e">
        <f t="shared" si="14"/>
        <v>#DIV/0!</v>
      </c>
      <c r="BW12" s="1"/>
      <c r="BX12" s="1"/>
    </row>
    <row r="13" spans="1:76" ht="14.25" customHeight="1" thickBot="1">
      <c r="A13" s="7" t="s">
        <v>98</v>
      </c>
      <c r="B13" s="7"/>
      <c r="C13" s="7" t="s">
        <v>81</v>
      </c>
      <c r="D13" s="7" t="s">
        <v>99</v>
      </c>
      <c r="E13" s="7" t="s">
        <v>100</v>
      </c>
      <c r="F13" s="29">
        <v>38088</v>
      </c>
      <c r="G13" s="2" t="s">
        <v>79</v>
      </c>
      <c r="H13" s="7">
        <v>22</v>
      </c>
      <c r="I13" s="25">
        <v>97.7</v>
      </c>
      <c r="J13" s="21">
        <v>207</v>
      </c>
      <c r="K13" s="1"/>
      <c r="L13" s="1"/>
      <c r="M13" s="6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8">U13+V13</f>
        <v>62.1</v>
      </c>
      <c r="Z13" s="1">
        <f t="shared" ref="Z13:Z64" si="19">W13+X13</f>
        <v>55.2</v>
      </c>
      <c r="AA13" s="1">
        <f t="shared" ref="AA13:AA64" si="20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9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60" si="21">BC13/I13</f>
        <v>3.6335721596724668</v>
      </c>
      <c r="BE13" s="2">
        <v>330</v>
      </c>
      <c r="BF13" s="1">
        <f t="shared" ref="BF13:BF63" si="22">BE13/I13</f>
        <v>3.3776867963152508</v>
      </c>
      <c r="BG13" s="2">
        <v>221</v>
      </c>
      <c r="BH13" s="1">
        <f t="shared" ref="BH13:BH63" si="23">BG13/I13</f>
        <v>2.262026612077789</v>
      </c>
      <c r="BI13" s="2">
        <v>215</v>
      </c>
      <c r="BJ13" s="1">
        <f t="shared" ref="BJ13:BJ63" si="24">BI13/I13</f>
        <v>2.2006141248720574</v>
      </c>
      <c r="BK13" s="2">
        <v>164</v>
      </c>
      <c r="BL13" s="1">
        <f t="shared" ref="BL13:BL63" si="25">BK13/I13</f>
        <v>1.6786079836233367</v>
      </c>
      <c r="BM13" s="2">
        <v>179</v>
      </c>
      <c r="BN13" s="1">
        <f t="shared" ref="BN13:BN62" si="26">BM13/I13</f>
        <v>1.8321392016376663</v>
      </c>
      <c r="BO13" s="2">
        <v>184</v>
      </c>
      <c r="BP13" s="1">
        <f t="shared" ref="BP13:BP63" si="27">BO13/I13</f>
        <v>1.8833162743091094</v>
      </c>
      <c r="BQ13" s="2">
        <v>196</v>
      </c>
      <c r="BR13" s="1">
        <f t="shared" ref="BR13:BR63" si="28">BQ13/I13</f>
        <v>2.006141248720573</v>
      </c>
      <c r="BS13" s="2">
        <v>238</v>
      </c>
      <c r="BT13" s="1">
        <f t="shared" ref="BT13:BT63" si="29">BS13/I13</f>
        <v>2.4360286591606961</v>
      </c>
      <c r="BU13" s="2">
        <v>199</v>
      </c>
      <c r="BV13" s="1">
        <f t="shared" si="14"/>
        <v>2.0368474923234392</v>
      </c>
      <c r="BW13" s="1">
        <f t="shared" ref="BW13:BW63" si="30">BS13/BG13</f>
        <v>1.0769230769230769</v>
      </c>
      <c r="BX13" s="1">
        <f t="shared" ref="BX13:BX63" si="31">BU13/BI13</f>
        <v>0.92558139534883721</v>
      </c>
    </row>
    <row r="14" spans="1:76" ht="14.25" customHeight="1" thickBot="1">
      <c r="A14" s="5" t="s">
        <v>101</v>
      </c>
      <c r="B14" s="5"/>
      <c r="C14" s="5"/>
      <c r="D14" s="5" t="s">
        <v>82</v>
      </c>
      <c r="E14" s="5" t="s">
        <v>83</v>
      </c>
      <c r="F14" s="30">
        <v>38706</v>
      </c>
      <c r="G14" s="2" t="s">
        <v>79</v>
      </c>
      <c r="H14" s="4">
        <v>20</v>
      </c>
      <c r="I14" s="22">
        <v>85.3</v>
      </c>
      <c r="J14" s="18">
        <v>184</v>
      </c>
      <c r="K14" s="1"/>
      <c r="L14" s="1"/>
      <c r="M14" s="6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8"/>
        <v>0</v>
      </c>
      <c r="Z14" s="1">
        <f t="shared" si="19"/>
        <v>0</v>
      </c>
      <c r="AA14" s="1" t="e">
        <f t="shared" si="20"/>
        <v>#DIV/0!</v>
      </c>
      <c r="AB14" s="1"/>
      <c r="AC14" s="1"/>
      <c r="AD14" s="1"/>
      <c r="AE14" s="1"/>
      <c r="AF14" s="1"/>
      <c r="AG14" s="1"/>
      <c r="AH14" s="1">
        <f t="shared" ref="AH14:AH64" si="32">AG14/I14</f>
        <v>0</v>
      </c>
      <c r="AI14" s="1"/>
      <c r="AJ14" s="1">
        <f t="shared" ref="AJ14:AJ63" si="3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0"/>
      <c r="AV14" s="1"/>
      <c r="AW14" s="1"/>
      <c r="AX14" s="1"/>
      <c r="AY14" s="1"/>
      <c r="AZ14" s="1"/>
      <c r="BA14" s="1"/>
      <c r="BB14" s="1"/>
      <c r="BC14" s="1"/>
      <c r="BD14" s="1">
        <f t="shared" si="21"/>
        <v>0</v>
      </c>
      <c r="BE14" s="1"/>
      <c r="BF14" s="1">
        <f t="shared" si="22"/>
        <v>0</v>
      </c>
      <c r="BG14" s="1"/>
      <c r="BH14" s="1">
        <f t="shared" si="23"/>
        <v>0</v>
      </c>
      <c r="BI14" s="1"/>
      <c r="BJ14" s="1">
        <f t="shared" si="24"/>
        <v>0</v>
      </c>
      <c r="BK14" s="1"/>
      <c r="BL14" s="1">
        <f t="shared" si="25"/>
        <v>0</v>
      </c>
      <c r="BM14" s="1"/>
      <c r="BN14" s="1">
        <f t="shared" si="26"/>
        <v>0</v>
      </c>
      <c r="BO14" s="1"/>
      <c r="BP14" s="1">
        <f t="shared" si="27"/>
        <v>0</v>
      </c>
      <c r="BQ14" s="1"/>
      <c r="BR14" s="1">
        <f t="shared" si="28"/>
        <v>0</v>
      </c>
      <c r="BS14" s="1"/>
      <c r="BT14" s="1">
        <f t="shared" si="29"/>
        <v>0</v>
      </c>
      <c r="BU14" s="1"/>
      <c r="BV14" s="1">
        <f t="shared" si="14"/>
        <v>0</v>
      </c>
      <c r="BW14" s="1" t="e">
        <f t="shared" si="30"/>
        <v>#DIV/0!</v>
      </c>
      <c r="BX14" s="1" t="e">
        <f t="shared" si="31"/>
        <v>#DIV/0!</v>
      </c>
    </row>
    <row r="15" spans="1:76" ht="14.25" customHeight="1" thickBot="1">
      <c r="A15" s="8" t="s">
        <v>102</v>
      </c>
      <c r="B15" s="7"/>
      <c r="C15" s="7" t="s">
        <v>76</v>
      </c>
      <c r="D15" s="7" t="s">
        <v>77</v>
      </c>
      <c r="E15" s="7" t="s">
        <v>103</v>
      </c>
      <c r="F15" s="29">
        <v>37867</v>
      </c>
      <c r="G15" s="2" t="s">
        <v>79</v>
      </c>
      <c r="H15" s="8">
        <v>22</v>
      </c>
      <c r="I15" s="25">
        <v>88</v>
      </c>
      <c r="J15" s="21">
        <v>189.2</v>
      </c>
      <c r="K15" s="1"/>
      <c r="L15" s="1"/>
      <c r="M15" s="6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8"/>
        <v>56</v>
      </c>
      <c r="Z15" s="1">
        <f t="shared" si="19"/>
        <v>57.4</v>
      </c>
      <c r="AA15" s="1">
        <f t="shared" si="20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2"/>
        <v>0</v>
      </c>
      <c r="AI15" s="1"/>
      <c r="AJ15" s="1">
        <f t="shared" si="3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1">
        <v>16</v>
      </c>
      <c r="AV15" s="1"/>
      <c r="AW15" s="1"/>
      <c r="AX15" s="1"/>
      <c r="AY15" s="1"/>
      <c r="AZ15" s="1"/>
      <c r="BA15" s="1"/>
      <c r="BB15" s="1"/>
      <c r="BC15" s="1"/>
      <c r="BD15" s="1">
        <f t="shared" si="21"/>
        <v>0</v>
      </c>
      <c r="BE15" s="1"/>
      <c r="BF15" s="1">
        <f t="shared" si="22"/>
        <v>0</v>
      </c>
      <c r="BG15" s="1"/>
      <c r="BH15" s="1">
        <f t="shared" si="23"/>
        <v>0</v>
      </c>
      <c r="BI15" s="1"/>
      <c r="BJ15" s="1">
        <f t="shared" si="24"/>
        <v>0</v>
      </c>
      <c r="BK15" s="1"/>
      <c r="BL15" s="1">
        <f t="shared" si="25"/>
        <v>0</v>
      </c>
      <c r="BM15" s="1"/>
      <c r="BN15" s="1">
        <f t="shared" si="26"/>
        <v>0</v>
      </c>
      <c r="BO15" s="1"/>
      <c r="BP15" s="1">
        <f t="shared" si="27"/>
        <v>0</v>
      </c>
      <c r="BQ15" s="1"/>
      <c r="BR15" s="1">
        <f t="shared" si="28"/>
        <v>0</v>
      </c>
      <c r="BS15" s="1"/>
      <c r="BT15" s="1">
        <f t="shared" si="29"/>
        <v>0</v>
      </c>
      <c r="BU15" s="1"/>
      <c r="BV15" s="1">
        <f t="shared" si="14"/>
        <v>0</v>
      </c>
      <c r="BW15" s="1" t="e">
        <f t="shared" si="30"/>
        <v>#DIV/0!</v>
      </c>
      <c r="BX15" s="1" t="e">
        <f t="shared" si="31"/>
        <v>#DIV/0!</v>
      </c>
    </row>
    <row r="16" spans="1:76" ht="14.25" customHeight="1" thickBot="1">
      <c r="A16" s="4" t="s">
        <v>104</v>
      </c>
      <c r="B16" s="5"/>
      <c r="C16" s="5" t="s">
        <v>76</v>
      </c>
      <c r="D16" s="5" t="s">
        <v>92</v>
      </c>
      <c r="E16" s="5" t="s">
        <v>105</v>
      </c>
      <c r="F16" s="30">
        <v>36637</v>
      </c>
      <c r="G16" s="2" t="s">
        <v>79</v>
      </c>
      <c r="H16" s="4">
        <v>26</v>
      </c>
      <c r="I16" s="22">
        <v>66.599999999999994</v>
      </c>
      <c r="J16" s="18">
        <v>173</v>
      </c>
      <c r="K16" s="1"/>
      <c r="L16" s="1"/>
      <c r="M16" s="6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8"/>
        <v>53.9</v>
      </c>
      <c r="Z16" s="1">
        <f t="shared" si="19"/>
        <v>44.2</v>
      </c>
      <c r="AA16" s="1">
        <f t="shared" si="20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2"/>
        <v>0</v>
      </c>
      <c r="AI16" s="1"/>
      <c r="AJ16" s="1">
        <f t="shared" si="3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18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1"/>
        <v>2.8198198198198203</v>
      </c>
      <c r="BE16" s="2">
        <v>197.7</v>
      </c>
      <c r="BF16" s="1">
        <f t="shared" si="22"/>
        <v>2.9684684684684686</v>
      </c>
      <c r="BG16" s="2">
        <v>132.69999999999999</v>
      </c>
      <c r="BH16" s="1">
        <f t="shared" si="23"/>
        <v>1.9924924924924925</v>
      </c>
      <c r="BI16" s="2">
        <v>131.30000000000001</v>
      </c>
      <c r="BJ16" s="1">
        <f t="shared" si="24"/>
        <v>1.9714714714714718</v>
      </c>
      <c r="BK16" s="2">
        <v>133</v>
      </c>
      <c r="BL16" s="1">
        <f t="shared" si="25"/>
        <v>1.9969969969969972</v>
      </c>
      <c r="BM16" s="2">
        <v>121.9</v>
      </c>
      <c r="BN16" s="1">
        <f t="shared" si="26"/>
        <v>1.8303303303303307</v>
      </c>
      <c r="BO16" s="2">
        <v>102.2</v>
      </c>
      <c r="BP16" s="1">
        <f t="shared" si="27"/>
        <v>1.5345345345345347</v>
      </c>
      <c r="BQ16" s="2">
        <v>91.1</v>
      </c>
      <c r="BR16" s="1">
        <f t="shared" si="28"/>
        <v>1.367867867867868</v>
      </c>
      <c r="BS16" s="2">
        <v>117.8</v>
      </c>
      <c r="BT16" s="1">
        <f t="shared" si="29"/>
        <v>1.768768768768769</v>
      </c>
      <c r="BU16" s="2">
        <v>86.1</v>
      </c>
      <c r="BV16" s="1">
        <f t="shared" si="14"/>
        <v>1.2927927927927929</v>
      </c>
      <c r="BW16" s="1">
        <f t="shared" si="30"/>
        <v>0.8877166541070084</v>
      </c>
      <c r="BX16" s="1">
        <f t="shared" si="31"/>
        <v>0.65575019040365568</v>
      </c>
    </row>
    <row r="17" spans="1:76" ht="14.25" customHeight="1" thickBot="1">
      <c r="A17" s="7" t="s">
        <v>106</v>
      </c>
      <c r="B17" s="7"/>
      <c r="C17" s="7" t="s">
        <v>81</v>
      </c>
      <c r="D17" s="7" t="s">
        <v>77</v>
      </c>
      <c r="E17" s="7" t="s">
        <v>78</v>
      </c>
      <c r="F17" s="29">
        <v>39637</v>
      </c>
      <c r="G17" s="2" t="s">
        <v>79</v>
      </c>
      <c r="H17" s="8">
        <v>17</v>
      </c>
      <c r="I17" s="25">
        <v>72.599999999999994</v>
      </c>
      <c r="J17" s="21">
        <v>175.3</v>
      </c>
      <c r="K17" s="1"/>
      <c r="L17" s="1"/>
      <c r="M17" s="6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8"/>
        <v>39.299999999999997</v>
      </c>
      <c r="Z17" s="1">
        <f t="shared" si="19"/>
        <v>39.200000000000003</v>
      </c>
      <c r="AA17" s="1">
        <f t="shared" si="20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2"/>
        <v>0</v>
      </c>
      <c r="AI17" s="1"/>
      <c r="AJ17" s="1">
        <f t="shared" si="3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1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1"/>
        <v>3.0027548209366395</v>
      </c>
      <c r="BE17" s="2">
        <v>236</v>
      </c>
      <c r="BF17" s="1">
        <f t="shared" si="22"/>
        <v>3.2506887052341602</v>
      </c>
      <c r="BG17" s="2">
        <v>175</v>
      </c>
      <c r="BH17" s="1">
        <f t="shared" si="23"/>
        <v>2.4104683195592287</v>
      </c>
      <c r="BI17" s="2">
        <v>211</v>
      </c>
      <c r="BJ17" s="1">
        <f t="shared" si="24"/>
        <v>2.9063360881542701</v>
      </c>
      <c r="BK17" s="2">
        <v>118</v>
      </c>
      <c r="BL17" s="1">
        <f t="shared" si="25"/>
        <v>1.6253443526170801</v>
      </c>
      <c r="BM17" s="2">
        <v>140</v>
      </c>
      <c r="BN17" s="1">
        <f t="shared" si="26"/>
        <v>1.9283746556473831</v>
      </c>
      <c r="BO17" s="2">
        <v>95</v>
      </c>
      <c r="BP17" s="1">
        <f t="shared" si="27"/>
        <v>1.3085399449035813</v>
      </c>
      <c r="BQ17" s="2">
        <v>123</v>
      </c>
      <c r="BR17" s="1">
        <f t="shared" si="28"/>
        <v>1.694214876033058</v>
      </c>
      <c r="BS17" s="2">
        <v>131</v>
      </c>
      <c r="BT17" s="1">
        <f t="shared" si="29"/>
        <v>1.8044077134986227</v>
      </c>
      <c r="BU17" s="2">
        <v>172</v>
      </c>
      <c r="BV17" s="1">
        <f t="shared" si="14"/>
        <v>2.3691460055096423</v>
      </c>
      <c r="BW17" s="1">
        <f t="shared" si="30"/>
        <v>0.74857142857142855</v>
      </c>
      <c r="BX17" s="1">
        <f t="shared" si="31"/>
        <v>0.81516587677725116</v>
      </c>
    </row>
    <row r="18" spans="1:76" ht="14.25" customHeight="1" thickBot="1">
      <c r="A18" s="5" t="s">
        <v>107</v>
      </c>
      <c r="B18" s="5"/>
      <c r="C18" s="5" t="s">
        <v>81</v>
      </c>
      <c r="D18" s="5" t="s">
        <v>77</v>
      </c>
      <c r="E18" s="5" t="s">
        <v>103</v>
      </c>
      <c r="F18" s="30">
        <v>38099</v>
      </c>
      <c r="G18" s="2" t="s">
        <v>79</v>
      </c>
      <c r="H18" s="4">
        <v>22</v>
      </c>
      <c r="I18" s="22">
        <v>80</v>
      </c>
      <c r="J18" s="18">
        <v>185</v>
      </c>
      <c r="K18" s="1"/>
      <c r="L18" s="1"/>
      <c r="M18" s="6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8"/>
        <v>50.5</v>
      </c>
      <c r="Z18" s="1">
        <f t="shared" si="19"/>
        <v>43.4</v>
      </c>
      <c r="AA18" s="1">
        <f t="shared" si="20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2"/>
        <v>0</v>
      </c>
      <c r="AI18" s="1"/>
      <c r="AJ18" s="1">
        <f t="shared" si="3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18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1"/>
        <v>3.2749999999999999</v>
      </c>
      <c r="BE18" s="2">
        <v>246</v>
      </c>
      <c r="BF18" s="1">
        <f t="shared" si="22"/>
        <v>3.0750000000000002</v>
      </c>
      <c r="BG18" s="2">
        <v>160</v>
      </c>
      <c r="BH18" s="1">
        <f t="shared" si="23"/>
        <v>2</v>
      </c>
      <c r="BI18" s="2">
        <v>167</v>
      </c>
      <c r="BJ18" s="1">
        <f t="shared" si="24"/>
        <v>2.0874999999999999</v>
      </c>
      <c r="BK18" s="2">
        <v>124</v>
      </c>
      <c r="BL18" s="1">
        <f t="shared" si="25"/>
        <v>1.55</v>
      </c>
      <c r="BM18" s="2">
        <v>125</v>
      </c>
      <c r="BN18" s="1">
        <f t="shared" si="26"/>
        <v>1.5625</v>
      </c>
      <c r="BO18" s="2">
        <v>83</v>
      </c>
      <c r="BP18" s="1">
        <f t="shared" si="27"/>
        <v>1.0375000000000001</v>
      </c>
      <c r="BQ18" s="2">
        <v>92</v>
      </c>
      <c r="BR18" s="1">
        <f t="shared" si="28"/>
        <v>1.1499999999999999</v>
      </c>
      <c r="BS18" s="2">
        <v>146</v>
      </c>
      <c r="BT18" s="1">
        <f t="shared" si="29"/>
        <v>1.825</v>
      </c>
      <c r="BU18" s="2">
        <v>144</v>
      </c>
      <c r="BV18" s="1">
        <f t="shared" si="14"/>
        <v>1.8</v>
      </c>
      <c r="BW18" s="1">
        <f t="shared" si="30"/>
        <v>0.91249999999999998</v>
      </c>
      <c r="BX18" s="1">
        <f t="shared" si="31"/>
        <v>0.86227544910179643</v>
      </c>
    </row>
    <row r="19" spans="1:76" ht="14.25" customHeight="1" thickBot="1">
      <c r="A19" s="8" t="s">
        <v>108</v>
      </c>
      <c r="B19" s="7"/>
      <c r="C19" s="7" t="s">
        <v>81</v>
      </c>
      <c r="D19" s="7" t="s">
        <v>77</v>
      </c>
      <c r="E19" s="7" t="s">
        <v>103</v>
      </c>
      <c r="F19" s="29">
        <v>35576</v>
      </c>
      <c r="G19" s="2" t="s">
        <v>79</v>
      </c>
      <c r="H19" s="8">
        <v>29</v>
      </c>
      <c r="I19" s="25">
        <v>86.1</v>
      </c>
      <c r="J19" s="21">
        <v>189.1</v>
      </c>
      <c r="K19" s="1"/>
      <c r="L19" s="1"/>
      <c r="M19" s="6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8"/>
        <v>36.700000000000003</v>
      </c>
      <c r="Z19" s="1">
        <f t="shared" si="19"/>
        <v>47.099999999999994</v>
      </c>
      <c r="AA19" s="1">
        <f t="shared" si="20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2"/>
        <v>0</v>
      </c>
      <c r="AI19" s="1"/>
      <c r="AJ19" s="1">
        <f t="shared" si="3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9">
        <v>11.5</v>
      </c>
      <c r="AS19" s="9">
        <v>14.8</v>
      </c>
      <c r="AT19" s="1"/>
      <c r="AU19" s="21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1"/>
        <v>2.5667828106852499</v>
      </c>
      <c r="BE19" s="2">
        <v>306</v>
      </c>
      <c r="BF19" s="1">
        <f t="shared" si="22"/>
        <v>3.5540069686411151</v>
      </c>
      <c r="BG19" s="2">
        <v>188</v>
      </c>
      <c r="BH19" s="1">
        <f t="shared" si="23"/>
        <v>2.1835075493612082</v>
      </c>
      <c r="BI19" s="2">
        <v>217</v>
      </c>
      <c r="BJ19" s="1">
        <f t="shared" si="24"/>
        <v>2.5203252032520327</v>
      </c>
      <c r="BK19" s="2">
        <v>146</v>
      </c>
      <c r="BL19" s="1">
        <f t="shared" si="25"/>
        <v>1.6957026713124275</v>
      </c>
      <c r="BM19" s="2">
        <v>149</v>
      </c>
      <c r="BN19" s="1">
        <f t="shared" si="26"/>
        <v>1.7305458768873405</v>
      </c>
      <c r="BO19" s="2">
        <v>82</v>
      </c>
      <c r="BP19" s="1">
        <f t="shared" si="27"/>
        <v>0.95238095238095244</v>
      </c>
      <c r="BQ19" s="2">
        <v>111</v>
      </c>
      <c r="BR19" s="1">
        <f t="shared" si="28"/>
        <v>1.2891986062717771</v>
      </c>
      <c r="BS19" s="2">
        <v>185</v>
      </c>
      <c r="BT19" s="1">
        <f t="shared" si="29"/>
        <v>2.1486643437862951</v>
      </c>
      <c r="BU19" s="2">
        <v>168</v>
      </c>
      <c r="BV19" s="1">
        <f t="shared" si="14"/>
        <v>1.9512195121951221</v>
      </c>
      <c r="BW19" s="1">
        <f t="shared" si="30"/>
        <v>0.98404255319148937</v>
      </c>
      <c r="BX19" s="1">
        <f t="shared" si="31"/>
        <v>0.77419354838709675</v>
      </c>
    </row>
    <row r="20" spans="1:76" ht="14.25" customHeight="1" thickBot="1">
      <c r="A20" s="4" t="s">
        <v>109</v>
      </c>
      <c r="B20" s="5"/>
      <c r="C20" s="5" t="s">
        <v>81</v>
      </c>
      <c r="D20" s="5" t="s">
        <v>92</v>
      </c>
      <c r="E20" s="5" t="s">
        <v>105</v>
      </c>
      <c r="F20" s="30">
        <v>37888</v>
      </c>
      <c r="G20" s="2" t="s">
        <v>79</v>
      </c>
      <c r="H20" s="4">
        <v>22</v>
      </c>
      <c r="I20" s="22">
        <v>80.7</v>
      </c>
      <c r="J20" s="18">
        <v>186.5</v>
      </c>
      <c r="K20" s="1"/>
      <c r="L20" s="1"/>
      <c r="M20" s="6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8"/>
        <v>48.099999999999994</v>
      </c>
      <c r="Z20" s="1">
        <f t="shared" si="19"/>
        <v>61.8</v>
      </c>
      <c r="AA20" s="1">
        <f t="shared" si="20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2"/>
        <v>0</v>
      </c>
      <c r="AI20" s="1"/>
      <c r="AJ20" s="1">
        <f t="shared" si="3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18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1"/>
        <v>3.4820322180916974</v>
      </c>
      <c r="BE20" s="2">
        <v>305</v>
      </c>
      <c r="BF20" s="1">
        <f t="shared" si="22"/>
        <v>3.7794299876084261</v>
      </c>
      <c r="BG20" s="2">
        <v>156</v>
      </c>
      <c r="BH20" s="1">
        <f t="shared" si="23"/>
        <v>1.9330855018587361</v>
      </c>
      <c r="BI20" s="2">
        <v>180</v>
      </c>
      <c r="BJ20" s="1">
        <f t="shared" si="24"/>
        <v>2.2304832713754648</v>
      </c>
      <c r="BK20" s="2">
        <v>173</v>
      </c>
      <c r="BL20" s="1">
        <f t="shared" si="25"/>
        <v>2.1437422552664187</v>
      </c>
      <c r="BM20" s="2">
        <v>162</v>
      </c>
      <c r="BN20" s="1">
        <f t="shared" si="26"/>
        <v>2.007434944237918</v>
      </c>
      <c r="BO20" s="2">
        <v>116</v>
      </c>
      <c r="BP20" s="1">
        <f t="shared" si="27"/>
        <v>1.4374225526641884</v>
      </c>
      <c r="BQ20" s="2">
        <v>158</v>
      </c>
      <c r="BR20" s="1">
        <f t="shared" si="28"/>
        <v>1.9578686493184634</v>
      </c>
      <c r="BS20" s="2">
        <v>215</v>
      </c>
      <c r="BT20" s="1">
        <f t="shared" si="29"/>
        <v>2.6641883519206937</v>
      </c>
      <c r="BU20" s="2">
        <v>234</v>
      </c>
      <c r="BV20" s="1">
        <f t="shared" si="14"/>
        <v>2.8996282527881041</v>
      </c>
      <c r="BW20" s="1">
        <f t="shared" si="30"/>
        <v>1.3782051282051282</v>
      </c>
      <c r="BX20" s="1">
        <f t="shared" si="31"/>
        <v>1.3</v>
      </c>
    </row>
    <row r="21" spans="1:76" ht="14.25" customHeight="1" thickBot="1">
      <c r="A21" s="4" t="s">
        <v>110</v>
      </c>
      <c r="B21" s="5"/>
      <c r="C21" s="7" t="s">
        <v>76</v>
      </c>
      <c r="D21" s="7" t="s">
        <v>99</v>
      </c>
      <c r="E21" s="7" t="s">
        <v>100</v>
      </c>
      <c r="F21" s="29">
        <v>33541</v>
      </c>
      <c r="G21" s="2" t="s">
        <v>79</v>
      </c>
      <c r="H21" s="8">
        <v>34</v>
      </c>
      <c r="I21" s="25">
        <v>82</v>
      </c>
      <c r="J21" s="26"/>
      <c r="K21" s="1"/>
      <c r="L21" s="1"/>
      <c r="M21" s="6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8"/>
        <v>63.5</v>
      </c>
      <c r="Z21" s="1">
        <f t="shared" si="19"/>
        <v>50.099999999999994</v>
      </c>
      <c r="AA21" s="1">
        <f t="shared" si="20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2"/>
        <v>0</v>
      </c>
      <c r="AI21" s="1"/>
      <c r="AJ21" s="1">
        <f t="shared" si="3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1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1"/>
        <v>2.7560975609756095</v>
      </c>
      <c r="BE21" s="2">
        <v>209</v>
      </c>
      <c r="BF21" s="1">
        <f t="shared" si="22"/>
        <v>2.5487804878048781</v>
      </c>
      <c r="BG21" s="2">
        <v>161</v>
      </c>
      <c r="BH21" s="1">
        <f t="shared" si="23"/>
        <v>1.9634146341463414</v>
      </c>
      <c r="BI21" s="2">
        <v>162</v>
      </c>
      <c r="BJ21" s="1">
        <f t="shared" si="24"/>
        <v>1.975609756097561</v>
      </c>
      <c r="BK21" s="2">
        <v>144</v>
      </c>
      <c r="BL21" s="1">
        <f t="shared" si="25"/>
        <v>1.7560975609756098</v>
      </c>
      <c r="BM21" s="2">
        <v>148</v>
      </c>
      <c r="BN21" s="1">
        <f t="shared" si="26"/>
        <v>1.8048780487804879</v>
      </c>
      <c r="BO21" s="2">
        <v>111</v>
      </c>
      <c r="BP21" s="1">
        <f t="shared" si="27"/>
        <v>1.3536585365853659</v>
      </c>
      <c r="BQ21" s="2">
        <v>129</v>
      </c>
      <c r="BR21" s="1">
        <f t="shared" si="28"/>
        <v>1.5731707317073171</v>
      </c>
      <c r="BS21" s="2">
        <v>178</v>
      </c>
      <c r="BT21" s="1">
        <f t="shared" si="29"/>
        <v>2.1707317073170733</v>
      </c>
      <c r="BU21" s="2">
        <v>199</v>
      </c>
      <c r="BV21" s="1">
        <f t="shared" si="14"/>
        <v>2.4268292682926829</v>
      </c>
      <c r="BW21" s="1">
        <f t="shared" si="30"/>
        <v>1.1055900621118013</v>
      </c>
      <c r="BX21" s="1">
        <f t="shared" si="31"/>
        <v>1.228395061728395</v>
      </c>
    </row>
    <row r="22" spans="1:76" ht="14.25" customHeight="1" thickBot="1">
      <c r="A22" s="8" t="s">
        <v>111</v>
      </c>
      <c r="B22" s="7"/>
      <c r="C22" s="5" t="s">
        <v>81</v>
      </c>
      <c r="D22" s="5" t="s">
        <v>82</v>
      </c>
      <c r="E22" s="5" t="s">
        <v>83</v>
      </c>
      <c r="F22" s="30">
        <v>35181</v>
      </c>
      <c r="G22" s="2" t="s">
        <v>79</v>
      </c>
      <c r="H22" s="4">
        <v>30</v>
      </c>
      <c r="I22" s="22">
        <v>90.3</v>
      </c>
      <c r="J22" s="18">
        <v>191.8</v>
      </c>
      <c r="K22" s="1"/>
      <c r="L22" s="1"/>
      <c r="M22" s="6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8"/>
        <v>67.7</v>
      </c>
      <c r="Z22" s="1">
        <f t="shared" si="19"/>
        <v>56.2</v>
      </c>
      <c r="AA22" s="1">
        <f t="shared" si="20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2"/>
        <v>0</v>
      </c>
      <c r="AI22" s="1"/>
      <c r="AJ22" s="1">
        <f t="shared" si="3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18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1"/>
        <v>2.823920265780731</v>
      </c>
      <c r="BE22" s="2">
        <v>333</v>
      </c>
      <c r="BF22" s="1">
        <f t="shared" si="22"/>
        <v>3.6877076411960132</v>
      </c>
      <c r="BG22" s="2">
        <v>183</v>
      </c>
      <c r="BH22" s="1">
        <f t="shared" si="23"/>
        <v>2.0265780730897012</v>
      </c>
      <c r="BI22" s="2">
        <v>212</v>
      </c>
      <c r="BJ22" s="1">
        <f t="shared" si="24"/>
        <v>2.3477297895902547</v>
      </c>
      <c r="BK22" s="2">
        <v>189</v>
      </c>
      <c r="BL22" s="1">
        <f t="shared" si="25"/>
        <v>2.0930232558139537</v>
      </c>
      <c r="BM22" s="2">
        <v>214</v>
      </c>
      <c r="BN22" s="1">
        <f t="shared" si="26"/>
        <v>2.3698781838316725</v>
      </c>
      <c r="BO22" s="2">
        <v>166</v>
      </c>
      <c r="BP22" s="1">
        <f t="shared" si="27"/>
        <v>1.8383167220376524</v>
      </c>
      <c r="BQ22" s="2">
        <v>170</v>
      </c>
      <c r="BR22" s="1">
        <f t="shared" si="28"/>
        <v>1.8826135105204873</v>
      </c>
      <c r="BS22" s="2">
        <v>210</v>
      </c>
      <c r="BT22" s="1">
        <f t="shared" si="29"/>
        <v>2.3255813953488373</v>
      </c>
      <c r="BU22" s="2">
        <v>239</v>
      </c>
      <c r="BV22" s="1">
        <f t="shared" si="14"/>
        <v>2.6467331118493909</v>
      </c>
      <c r="BW22" s="1">
        <f t="shared" si="30"/>
        <v>1.1475409836065573</v>
      </c>
      <c r="BX22" s="1">
        <f t="shared" si="31"/>
        <v>1.1273584905660377</v>
      </c>
    </row>
    <row r="23" spans="1:76" ht="14.25" customHeight="1" thickBot="1">
      <c r="A23" s="4" t="s">
        <v>112</v>
      </c>
      <c r="B23" s="5"/>
      <c r="C23" s="7"/>
      <c r="D23" s="7" t="s">
        <v>92</v>
      </c>
      <c r="E23" s="7" t="s">
        <v>93</v>
      </c>
      <c r="F23" s="29">
        <v>39046</v>
      </c>
      <c r="G23" s="2" t="s">
        <v>79</v>
      </c>
      <c r="H23" s="8">
        <v>19</v>
      </c>
      <c r="I23" s="25">
        <v>70.5</v>
      </c>
      <c r="J23" s="21">
        <v>171</v>
      </c>
      <c r="K23" s="1"/>
      <c r="L23" s="1"/>
      <c r="M23" s="6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8"/>
        <v>56.2</v>
      </c>
      <c r="Z23" s="1">
        <f t="shared" si="19"/>
        <v>52.5</v>
      </c>
      <c r="AA23" s="1">
        <f t="shared" si="20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2"/>
        <v>0</v>
      </c>
      <c r="AI23" s="1"/>
      <c r="AJ23" s="1">
        <f t="shared" si="3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9">
        <v>11.8</v>
      </c>
      <c r="AS23" s="9">
        <v>15.9</v>
      </c>
      <c r="AT23" s="1"/>
      <c r="AU23" s="21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1"/>
        <v>2.8851063829787233</v>
      </c>
      <c r="BE23" s="2">
        <v>161.69999999999999</v>
      </c>
      <c r="BF23" s="1">
        <f t="shared" si="22"/>
        <v>2.2936170212765954</v>
      </c>
      <c r="BG23" s="2">
        <v>191.7</v>
      </c>
      <c r="BH23" s="1">
        <f t="shared" si="23"/>
        <v>2.7191489361702126</v>
      </c>
      <c r="BI23" s="2">
        <v>182.3</v>
      </c>
      <c r="BJ23" s="1">
        <f t="shared" si="24"/>
        <v>2.5858156028368797</v>
      </c>
      <c r="BK23" s="2">
        <v>125.8</v>
      </c>
      <c r="BL23" s="1">
        <f t="shared" si="25"/>
        <v>1.7843971631205673</v>
      </c>
      <c r="BM23" s="2">
        <v>134.5</v>
      </c>
      <c r="BN23" s="1">
        <f t="shared" si="26"/>
        <v>1.9078014184397163</v>
      </c>
      <c r="BO23" s="2">
        <v>144.30000000000001</v>
      </c>
      <c r="BP23" s="1">
        <f t="shared" si="27"/>
        <v>2.0468085106382978</v>
      </c>
      <c r="BQ23" s="2">
        <v>146</v>
      </c>
      <c r="BR23" s="1">
        <f t="shared" si="28"/>
        <v>2.0709219858156027</v>
      </c>
      <c r="BS23" s="2">
        <v>175.3</v>
      </c>
      <c r="BT23" s="1">
        <f t="shared" si="29"/>
        <v>2.4865248226950358</v>
      </c>
      <c r="BU23" s="2">
        <v>214.8</v>
      </c>
      <c r="BV23" s="1">
        <f t="shared" si="14"/>
        <v>3.0468085106382978</v>
      </c>
      <c r="BW23" s="1">
        <f t="shared" si="30"/>
        <v>0.9144496609285343</v>
      </c>
      <c r="BX23" s="1">
        <f t="shared" si="31"/>
        <v>1.1782775644541963</v>
      </c>
    </row>
    <row r="24" spans="1:76" ht="14.25" customHeight="1" thickBot="1">
      <c r="A24" s="8" t="s">
        <v>113</v>
      </c>
      <c r="B24" s="7"/>
      <c r="C24" s="5" t="s">
        <v>81</v>
      </c>
      <c r="D24" s="5" t="s">
        <v>99</v>
      </c>
      <c r="E24" s="5" t="s">
        <v>100</v>
      </c>
      <c r="F24" s="30">
        <v>38061</v>
      </c>
      <c r="G24" s="2" t="s">
        <v>79</v>
      </c>
      <c r="H24" s="4">
        <v>22</v>
      </c>
      <c r="I24" s="22">
        <v>93.8</v>
      </c>
      <c r="J24" s="18">
        <v>188.9</v>
      </c>
      <c r="K24" s="1"/>
      <c r="L24" s="1"/>
      <c r="M24" s="6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8"/>
        <v>59</v>
      </c>
      <c r="Z24" s="1">
        <f t="shared" si="19"/>
        <v>68</v>
      </c>
      <c r="AA24" s="1">
        <f t="shared" si="20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2"/>
        <v>0</v>
      </c>
      <c r="AI24" s="1"/>
      <c r="AJ24" s="1">
        <f t="shared" si="3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0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1"/>
        <v>3.3368869936034118</v>
      </c>
      <c r="BE24" s="2">
        <v>297</v>
      </c>
      <c r="BF24" s="1">
        <f t="shared" si="22"/>
        <v>3.1663113006396588</v>
      </c>
      <c r="BG24" s="2">
        <v>198</v>
      </c>
      <c r="BH24" s="1">
        <f t="shared" si="23"/>
        <v>2.1108742004264394</v>
      </c>
      <c r="BI24" s="2">
        <v>190</v>
      </c>
      <c r="BJ24" s="1">
        <f t="shared" si="24"/>
        <v>2.0255863539445631</v>
      </c>
      <c r="BK24" s="2">
        <v>195</v>
      </c>
      <c r="BL24" s="1">
        <f t="shared" si="25"/>
        <v>2.0788912579957355</v>
      </c>
      <c r="BM24" s="2">
        <v>205</v>
      </c>
      <c r="BN24" s="1">
        <f t="shared" si="26"/>
        <v>2.1855010660980811</v>
      </c>
      <c r="BO24" s="2">
        <v>182</v>
      </c>
      <c r="BP24" s="1">
        <f t="shared" si="27"/>
        <v>1.9402985074626866</v>
      </c>
      <c r="BQ24" s="2">
        <v>177</v>
      </c>
      <c r="BR24" s="1">
        <f t="shared" si="28"/>
        <v>1.886993603411514</v>
      </c>
      <c r="BS24" s="2">
        <v>263</v>
      </c>
      <c r="BT24" s="1">
        <f t="shared" si="29"/>
        <v>2.8038379530916844</v>
      </c>
      <c r="BU24" s="2">
        <v>165</v>
      </c>
      <c r="BV24" s="1">
        <f t="shared" si="14"/>
        <v>1.7590618336886994</v>
      </c>
      <c r="BW24" s="1">
        <f t="shared" si="30"/>
        <v>1.3282828282828283</v>
      </c>
      <c r="BX24" s="1">
        <f t="shared" si="31"/>
        <v>0.86842105263157898</v>
      </c>
    </row>
    <row r="25" spans="1:76" ht="14.25" customHeight="1" thickBot="1">
      <c r="A25" s="4" t="s">
        <v>115</v>
      </c>
      <c r="B25" s="5"/>
      <c r="C25" s="7" t="s">
        <v>81</v>
      </c>
      <c r="D25" s="7" t="s">
        <v>92</v>
      </c>
      <c r="E25" s="7" t="s">
        <v>93</v>
      </c>
      <c r="F25" s="29">
        <v>39041</v>
      </c>
      <c r="G25" s="2" t="s">
        <v>79</v>
      </c>
      <c r="H25" s="8">
        <v>19</v>
      </c>
      <c r="I25" s="25">
        <v>65.900000000000006</v>
      </c>
      <c r="J25" s="21">
        <v>177.5</v>
      </c>
      <c r="K25" s="1"/>
      <c r="L25" s="1"/>
      <c r="M25" s="6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8"/>
        <v>18.600000000000001</v>
      </c>
      <c r="Z25" s="1">
        <f t="shared" si="19"/>
        <v>34.200000000000003</v>
      </c>
      <c r="AA25" s="1">
        <f t="shared" si="20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2"/>
        <v>0</v>
      </c>
      <c r="AI25" s="1"/>
      <c r="AJ25" s="1">
        <f t="shared" si="3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9">
        <v>12.6</v>
      </c>
      <c r="AS25" s="9">
        <v>15</v>
      </c>
      <c r="AT25" s="1"/>
      <c r="AU25" s="21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1"/>
        <v>3.8088012139605461</v>
      </c>
      <c r="BE25" s="2">
        <v>249</v>
      </c>
      <c r="BF25" s="1">
        <f t="shared" si="22"/>
        <v>3.7784522003034899</v>
      </c>
      <c r="BG25" s="2">
        <v>187</v>
      </c>
      <c r="BH25" s="1">
        <f t="shared" si="23"/>
        <v>2.8376327769347496</v>
      </c>
      <c r="BI25" s="2">
        <v>196</v>
      </c>
      <c r="BJ25" s="1">
        <f t="shared" si="24"/>
        <v>2.9742033383915021</v>
      </c>
      <c r="BK25" s="2">
        <v>160</v>
      </c>
      <c r="BL25" s="1">
        <f t="shared" si="25"/>
        <v>2.4279210925644916</v>
      </c>
      <c r="BM25" s="2">
        <v>170</v>
      </c>
      <c r="BN25" s="1">
        <f t="shared" si="26"/>
        <v>2.5796661608497722</v>
      </c>
      <c r="BO25" s="2">
        <v>141</v>
      </c>
      <c r="BP25" s="1">
        <f t="shared" si="27"/>
        <v>2.1396054628224581</v>
      </c>
      <c r="BQ25" s="2">
        <v>115</v>
      </c>
      <c r="BR25" s="1">
        <f t="shared" si="28"/>
        <v>1.7450682852807282</v>
      </c>
      <c r="BS25" s="2">
        <v>145</v>
      </c>
      <c r="BT25" s="1">
        <f t="shared" si="29"/>
        <v>2.2003034901365703</v>
      </c>
      <c r="BU25" s="2">
        <v>155</v>
      </c>
      <c r="BV25" s="1">
        <f t="shared" si="14"/>
        <v>2.3520485584218509</v>
      </c>
      <c r="BW25" s="1">
        <f t="shared" si="30"/>
        <v>0.77540106951871657</v>
      </c>
      <c r="BX25" s="1">
        <f t="shared" si="31"/>
        <v>0.79081632653061229</v>
      </c>
    </row>
    <row r="26" spans="1:76" ht="14.25" customHeight="1" thickBot="1">
      <c r="A26" s="8" t="s">
        <v>116</v>
      </c>
      <c r="B26" s="7"/>
      <c r="C26" s="5" t="s">
        <v>81</v>
      </c>
      <c r="D26" s="5" t="s">
        <v>92</v>
      </c>
      <c r="E26" s="5" t="s">
        <v>96</v>
      </c>
      <c r="F26" s="30">
        <v>35162</v>
      </c>
      <c r="G26" s="2" t="s">
        <v>117</v>
      </c>
      <c r="H26" s="4">
        <v>30</v>
      </c>
      <c r="I26" s="24"/>
      <c r="J26" s="18">
        <v>181.5</v>
      </c>
      <c r="K26" s="1"/>
      <c r="L26" s="1"/>
      <c r="M26" s="6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8"/>
        <v>39.400000000000006</v>
      </c>
      <c r="Z26" s="1">
        <f t="shared" si="19"/>
        <v>49.3</v>
      </c>
      <c r="AA26" s="1">
        <f t="shared" si="20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2"/>
        <v>#DIV/0!</v>
      </c>
      <c r="AI26" s="1"/>
      <c r="AJ26" s="1" t="e">
        <f t="shared" si="3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18">
        <v>17</v>
      </c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1"/>
        <v>#DIV/0!</v>
      </c>
      <c r="BE26" s="2">
        <v>250</v>
      </c>
      <c r="BF26" s="1" t="e">
        <f t="shared" si="22"/>
        <v>#DIV/0!</v>
      </c>
      <c r="BG26" s="2">
        <v>136</v>
      </c>
      <c r="BH26" s="1" t="e">
        <f t="shared" si="23"/>
        <v>#DIV/0!</v>
      </c>
      <c r="BI26" s="2">
        <v>144</v>
      </c>
      <c r="BJ26" s="1" t="e">
        <f t="shared" si="24"/>
        <v>#DIV/0!</v>
      </c>
      <c r="BK26" s="2">
        <v>130</v>
      </c>
      <c r="BL26" s="1" t="e">
        <f t="shared" si="25"/>
        <v>#DIV/0!</v>
      </c>
      <c r="BM26" s="2">
        <v>147</v>
      </c>
      <c r="BN26" s="1" t="e">
        <f t="shared" si="26"/>
        <v>#DIV/0!</v>
      </c>
      <c r="BO26" s="2">
        <v>92</v>
      </c>
      <c r="BP26" s="1" t="e">
        <f t="shared" si="27"/>
        <v>#DIV/0!</v>
      </c>
      <c r="BQ26" s="2">
        <v>114</v>
      </c>
      <c r="BR26" s="1" t="e">
        <f t="shared" si="28"/>
        <v>#DIV/0!</v>
      </c>
      <c r="BS26" s="2">
        <v>115</v>
      </c>
      <c r="BT26" s="1" t="e">
        <f t="shared" si="29"/>
        <v>#DIV/0!</v>
      </c>
      <c r="BU26" s="2">
        <v>158</v>
      </c>
      <c r="BV26" s="1" t="e">
        <f t="shared" si="14"/>
        <v>#DIV/0!</v>
      </c>
      <c r="BW26" s="1">
        <f t="shared" si="30"/>
        <v>0.84558823529411764</v>
      </c>
      <c r="BX26" s="1">
        <f t="shared" si="31"/>
        <v>1.0972222222222223</v>
      </c>
    </row>
    <row r="27" spans="1:76" ht="14.25" customHeight="1" thickBot="1">
      <c r="A27" s="4" t="s">
        <v>118</v>
      </c>
      <c r="B27" s="5"/>
      <c r="C27" s="7" t="s">
        <v>81</v>
      </c>
      <c r="D27" s="7" t="s">
        <v>77</v>
      </c>
      <c r="E27" s="7" t="s">
        <v>78</v>
      </c>
      <c r="F27" s="29">
        <v>38420</v>
      </c>
      <c r="G27" s="2" t="s">
        <v>117</v>
      </c>
      <c r="H27" s="8">
        <v>21</v>
      </c>
      <c r="I27" s="23"/>
      <c r="J27" s="26"/>
      <c r="K27" s="1"/>
      <c r="L27" s="1"/>
      <c r="M27" s="6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8"/>
        <v>60.3</v>
      </c>
      <c r="Z27" s="1">
        <f t="shared" si="19"/>
        <v>35.799999999999997</v>
      </c>
      <c r="AA27" s="1">
        <f t="shared" si="20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2"/>
        <v>#DIV/0!</v>
      </c>
      <c r="AI27" s="1"/>
      <c r="AJ27" s="1" t="e">
        <f t="shared" si="3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9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1"/>
        <v>#DIV/0!</v>
      </c>
      <c r="BE27" s="2">
        <v>239</v>
      </c>
      <c r="BF27" s="1" t="e">
        <f t="shared" si="22"/>
        <v>#DIV/0!</v>
      </c>
      <c r="BG27" s="2">
        <v>197</v>
      </c>
      <c r="BH27" s="1" t="e">
        <f t="shared" si="23"/>
        <v>#DIV/0!</v>
      </c>
      <c r="BI27" s="2">
        <v>205</v>
      </c>
      <c r="BJ27" s="1" t="e">
        <f t="shared" si="24"/>
        <v>#DIV/0!</v>
      </c>
      <c r="BK27" s="2">
        <v>146</v>
      </c>
      <c r="BL27" s="1" t="e">
        <f t="shared" si="25"/>
        <v>#DIV/0!</v>
      </c>
      <c r="BM27" s="2">
        <v>140</v>
      </c>
      <c r="BN27" s="1" t="e">
        <f t="shared" si="26"/>
        <v>#DIV/0!</v>
      </c>
      <c r="BO27" s="2">
        <v>128</v>
      </c>
      <c r="BP27" s="1" t="e">
        <f t="shared" si="27"/>
        <v>#DIV/0!</v>
      </c>
      <c r="BQ27" s="2">
        <v>126</v>
      </c>
      <c r="BR27" s="1" t="e">
        <f t="shared" si="28"/>
        <v>#DIV/0!</v>
      </c>
      <c r="BS27" s="2">
        <v>153</v>
      </c>
      <c r="BT27" s="1" t="e">
        <f t="shared" si="29"/>
        <v>#DIV/0!</v>
      </c>
      <c r="BU27" s="2">
        <v>178</v>
      </c>
      <c r="BV27" s="1" t="e">
        <f t="shared" si="14"/>
        <v>#DIV/0!</v>
      </c>
      <c r="BW27" s="1">
        <f t="shared" si="30"/>
        <v>0.7766497461928934</v>
      </c>
      <c r="BX27" s="1">
        <f t="shared" si="31"/>
        <v>0.86829268292682926</v>
      </c>
    </row>
    <row r="28" spans="1:76" ht="14.25" customHeight="1" thickBot="1">
      <c r="A28" s="8" t="s">
        <v>119</v>
      </c>
      <c r="B28" s="7"/>
      <c r="C28" s="5" t="s">
        <v>81</v>
      </c>
      <c r="D28" s="5" t="s">
        <v>82</v>
      </c>
      <c r="E28" s="5" t="s">
        <v>85</v>
      </c>
      <c r="F28" s="30">
        <v>37076</v>
      </c>
      <c r="G28" s="2" t="s">
        <v>117</v>
      </c>
      <c r="H28" s="4">
        <v>24</v>
      </c>
      <c r="I28" s="24"/>
      <c r="J28" s="18">
        <v>175</v>
      </c>
      <c r="K28" s="1"/>
      <c r="L28" s="1"/>
      <c r="M28" s="6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8"/>
        <v>49.1</v>
      </c>
      <c r="Z28" s="1">
        <f t="shared" si="19"/>
        <v>46.9</v>
      </c>
      <c r="AA28" s="1">
        <f t="shared" si="20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2"/>
        <v>#DIV/0!</v>
      </c>
      <c r="AI28" s="1"/>
      <c r="AJ28" s="1" t="e">
        <f t="shared" si="3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18">
        <v>16</v>
      </c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1"/>
        <v>#DIV/0!</v>
      </c>
      <c r="BE28" s="2">
        <v>245</v>
      </c>
      <c r="BF28" s="1" t="e">
        <f t="shared" si="22"/>
        <v>#DIV/0!</v>
      </c>
      <c r="BG28" s="2">
        <v>158</v>
      </c>
      <c r="BH28" s="1" t="e">
        <f t="shared" si="23"/>
        <v>#DIV/0!</v>
      </c>
      <c r="BI28" s="2">
        <v>181</v>
      </c>
      <c r="BJ28" s="1" t="e">
        <f t="shared" si="24"/>
        <v>#DIV/0!</v>
      </c>
      <c r="BK28" s="2">
        <v>156</v>
      </c>
      <c r="BL28" s="1" t="e">
        <f t="shared" si="25"/>
        <v>#DIV/0!</v>
      </c>
      <c r="BM28" s="2">
        <v>172</v>
      </c>
      <c r="BN28" s="1" t="e">
        <f t="shared" si="26"/>
        <v>#DIV/0!</v>
      </c>
      <c r="BO28" s="2">
        <v>163</v>
      </c>
      <c r="BP28" s="1" t="e">
        <f t="shared" si="27"/>
        <v>#DIV/0!</v>
      </c>
      <c r="BQ28" s="2">
        <v>139</v>
      </c>
      <c r="BR28" s="1" t="e">
        <f t="shared" si="28"/>
        <v>#DIV/0!</v>
      </c>
      <c r="BS28" s="2">
        <v>201</v>
      </c>
      <c r="BT28" s="1" t="e">
        <f t="shared" si="29"/>
        <v>#DIV/0!</v>
      </c>
      <c r="BU28" s="2">
        <v>208</v>
      </c>
      <c r="BV28" s="1" t="e">
        <f t="shared" si="14"/>
        <v>#DIV/0!</v>
      </c>
      <c r="BW28" s="1">
        <f t="shared" si="30"/>
        <v>1.2721518987341771</v>
      </c>
      <c r="BX28" s="1">
        <f t="shared" si="31"/>
        <v>1.149171270718232</v>
      </c>
    </row>
    <row r="29" spans="1:76" ht="14.25" customHeight="1" thickBot="1">
      <c r="A29" s="4" t="s">
        <v>120</v>
      </c>
      <c r="B29" s="5"/>
      <c r="C29" s="7" t="s">
        <v>81</v>
      </c>
      <c r="D29" s="7" t="s">
        <v>82</v>
      </c>
      <c r="E29" s="7" t="s">
        <v>85</v>
      </c>
      <c r="F29" s="29">
        <v>35169</v>
      </c>
      <c r="G29" s="2" t="s">
        <v>117</v>
      </c>
      <c r="H29" s="8">
        <v>30</v>
      </c>
      <c r="I29" s="23"/>
      <c r="J29" s="21">
        <v>170.6</v>
      </c>
      <c r="K29" s="1"/>
      <c r="L29" s="1"/>
      <c r="M29" s="6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8"/>
        <v>38.299999999999997</v>
      </c>
      <c r="Z29" s="1">
        <f t="shared" si="19"/>
        <v>48.7</v>
      </c>
      <c r="AA29" s="1">
        <f t="shared" si="20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2"/>
        <v>#DIV/0!</v>
      </c>
      <c r="AI29" s="1"/>
      <c r="AJ29" s="1" t="e">
        <f t="shared" si="3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1">
        <v>18</v>
      </c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1"/>
        <v>#DIV/0!</v>
      </c>
      <c r="BE29" s="2">
        <v>145</v>
      </c>
      <c r="BF29" s="1" t="e">
        <f t="shared" si="22"/>
        <v>#DIV/0!</v>
      </c>
      <c r="BG29" s="2">
        <v>149</v>
      </c>
      <c r="BH29" s="1" t="e">
        <f t="shared" si="23"/>
        <v>#DIV/0!</v>
      </c>
      <c r="BI29" s="2">
        <v>131</v>
      </c>
      <c r="BJ29" s="1" t="e">
        <f t="shared" si="24"/>
        <v>#DIV/0!</v>
      </c>
      <c r="BK29" s="2">
        <v>108</v>
      </c>
      <c r="BL29" s="1" t="e">
        <f t="shared" si="25"/>
        <v>#DIV/0!</v>
      </c>
      <c r="BM29" s="2">
        <v>125</v>
      </c>
      <c r="BN29" s="1" t="e">
        <f t="shared" si="26"/>
        <v>#DIV/0!</v>
      </c>
      <c r="BO29" s="2">
        <v>84</v>
      </c>
      <c r="BP29" s="1" t="e">
        <f t="shared" si="27"/>
        <v>#DIV/0!</v>
      </c>
      <c r="BQ29" s="2">
        <v>125</v>
      </c>
      <c r="BR29" s="1" t="e">
        <f t="shared" si="28"/>
        <v>#DIV/0!</v>
      </c>
      <c r="BS29" s="2">
        <v>121</v>
      </c>
      <c r="BT29" s="1" t="e">
        <f t="shared" si="29"/>
        <v>#DIV/0!</v>
      </c>
      <c r="BU29" s="2">
        <v>123</v>
      </c>
      <c r="BV29" s="1" t="e">
        <f t="shared" si="14"/>
        <v>#DIV/0!</v>
      </c>
      <c r="BW29" s="1">
        <f t="shared" si="30"/>
        <v>0.81208053691275173</v>
      </c>
      <c r="BX29" s="1">
        <f t="shared" si="31"/>
        <v>0.93893129770992367</v>
      </c>
    </row>
    <row r="30" spans="1:76" ht="14.25" customHeight="1" thickBot="1">
      <c r="A30" s="8" t="s">
        <v>121</v>
      </c>
      <c r="B30" s="7"/>
      <c r="C30" s="5" t="s">
        <v>81</v>
      </c>
      <c r="D30" s="5" t="s">
        <v>82</v>
      </c>
      <c r="E30" s="5" t="s">
        <v>83</v>
      </c>
      <c r="F30" s="30">
        <v>36725</v>
      </c>
      <c r="G30" s="2" t="s">
        <v>117</v>
      </c>
      <c r="H30" s="4">
        <v>25</v>
      </c>
      <c r="I30" s="24"/>
      <c r="J30" s="18">
        <v>191.2</v>
      </c>
      <c r="K30" s="1"/>
      <c r="L30" s="1"/>
      <c r="M30" s="6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8"/>
        <v>45.8</v>
      </c>
      <c r="Z30" s="1">
        <f t="shared" si="19"/>
        <v>54</v>
      </c>
      <c r="AA30" s="1">
        <f t="shared" si="20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2"/>
        <v>#DIV/0!</v>
      </c>
      <c r="AI30" s="1"/>
      <c r="AJ30" s="1" t="e">
        <f t="shared" si="3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0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1"/>
        <v>#DIV/0!</v>
      </c>
      <c r="BE30" s="2">
        <v>216</v>
      </c>
      <c r="BF30" s="1" t="e">
        <f t="shared" si="22"/>
        <v>#DIV/0!</v>
      </c>
      <c r="BG30" s="2">
        <v>186</v>
      </c>
      <c r="BH30" s="1" t="e">
        <f t="shared" si="23"/>
        <v>#DIV/0!</v>
      </c>
      <c r="BI30" s="2">
        <v>199</v>
      </c>
      <c r="BJ30" s="1" t="e">
        <f t="shared" si="24"/>
        <v>#DIV/0!</v>
      </c>
      <c r="BK30" s="2">
        <v>158</v>
      </c>
      <c r="BL30" s="1" t="e">
        <f t="shared" si="25"/>
        <v>#DIV/0!</v>
      </c>
      <c r="BM30" s="2">
        <v>186</v>
      </c>
      <c r="BN30" s="1" t="e">
        <f t="shared" si="26"/>
        <v>#DIV/0!</v>
      </c>
      <c r="BO30" s="2">
        <v>170</v>
      </c>
      <c r="BP30" s="1" t="e">
        <f t="shared" si="27"/>
        <v>#DIV/0!</v>
      </c>
      <c r="BQ30" s="2">
        <v>178</v>
      </c>
      <c r="BR30" s="1" t="e">
        <f t="shared" si="28"/>
        <v>#DIV/0!</v>
      </c>
      <c r="BS30" s="2">
        <v>188</v>
      </c>
      <c r="BT30" s="1" t="e">
        <f t="shared" si="29"/>
        <v>#DIV/0!</v>
      </c>
      <c r="BU30" s="2">
        <v>232</v>
      </c>
      <c r="BV30" s="1" t="e">
        <f t="shared" si="14"/>
        <v>#DIV/0!</v>
      </c>
      <c r="BW30" s="1">
        <f t="shared" si="30"/>
        <v>1.010752688172043</v>
      </c>
      <c r="BX30" s="1">
        <f t="shared" si="31"/>
        <v>1.1658291457286432</v>
      </c>
    </row>
    <row r="31" spans="1:76" ht="14.25" customHeight="1" thickBot="1">
      <c r="A31" s="4" t="s">
        <v>122</v>
      </c>
      <c r="B31" s="5"/>
      <c r="C31" s="7" t="s">
        <v>81</v>
      </c>
      <c r="D31" s="7" t="s">
        <v>82</v>
      </c>
      <c r="E31" s="7" t="s">
        <v>83</v>
      </c>
      <c r="F31" s="29">
        <v>38702</v>
      </c>
      <c r="G31" s="2" t="s">
        <v>117</v>
      </c>
      <c r="H31" s="11">
        <v>20</v>
      </c>
      <c r="I31" s="23"/>
      <c r="J31" s="21">
        <v>186.2</v>
      </c>
      <c r="K31" s="1"/>
      <c r="L31" s="1"/>
      <c r="M31" s="6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8"/>
        <v>46.9</v>
      </c>
      <c r="Z31" s="1">
        <f t="shared" si="19"/>
        <v>39.200000000000003</v>
      </c>
      <c r="AA31" s="1">
        <f t="shared" si="20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2"/>
        <v>#DIV/0!</v>
      </c>
      <c r="AI31" s="1"/>
      <c r="AJ31" s="1" t="e">
        <f t="shared" si="3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1">
        <v>16</v>
      </c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1"/>
        <v>#DIV/0!</v>
      </c>
      <c r="BE31" s="2">
        <v>258</v>
      </c>
      <c r="BF31" s="1" t="e">
        <f t="shared" si="22"/>
        <v>#DIV/0!</v>
      </c>
      <c r="BG31" s="2">
        <v>180</v>
      </c>
      <c r="BH31" s="1" t="e">
        <f t="shared" si="23"/>
        <v>#DIV/0!</v>
      </c>
      <c r="BI31" s="2">
        <v>180</v>
      </c>
      <c r="BJ31" s="1" t="e">
        <f t="shared" si="24"/>
        <v>#DIV/0!</v>
      </c>
      <c r="BK31" s="2">
        <v>133</v>
      </c>
      <c r="BL31" s="1" t="e">
        <f t="shared" si="25"/>
        <v>#DIV/0!</v>
      </c>
      <c r="BM31" s="2">
        <v>124</v>
      </c>
      <c r="BN31" s="1" t="e">
        <f t="shared" si="26"/>
        <v>#DIV/0!</v>
      </c>
      <c r="BO31" s="2">
        <v>108</v>
      </c>
      <c r="BP31" s="1" t="e">
        <f t="shared" si="27"/>
        <v>#DIV/0!</v>
      </c>
      <c r="BQ31" s="2">
        <v>124</v>
      </c>
      <c r="BR31" s="1" t="e">
        <f t="shared" si="28"/>
        <v>#DIV/0!</v>
      </c>
      <c r="BS31" s="2">
        <v>200</v>
      </c>
      <c r="BT31" s="1" t="e">
        <f t="shared" si="29"/>
        <v>#DIV/0!</v>
      </c>
      <c r="BU31" s="2">
        <v>181</v>
      </c>
      <c r="BV31" s="1" t="e">
        <f t="shared" si="14"/>
        <v>#DIV/0!</v>
      </c>
      <c r="BW31" s="1">
        <f t="shared" si="30"/>
        <v>1.1111111111111112</v>
      </c>
      <c r="BX31" s="1">
        <f t="shared" si="31"/>
        <v>1.0055555555555555</v>
      </c>
    </row>
    <row r="32" spans="1:76" ht="14.25" customHeight="1" thickBot="1">
      <c r="A32" s="12" t="s">
        <v>123</v>
      </c>
      <c r="B32" s="2"/>
      <c r="C32" s="2"/>
      <c r="D32" s="2"/>
      <c r="E32" s="2"/>
      <c r="F32" s="31">
        <v>39161</v>
      </c>
      <c r="G32" s="2" t="s">
        <v>117</v>
      </c>
      <c r="H32" s="1"/>
      <c r="I32" s="18">
        <v>74.5</v>
      </c>
      <c r="J32" s="18">
        <v>192.8</v>
      </c>
      <c r="K32" s="1"/>
      <c r="L32" s="1"/>
      <c r="M32" s="6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8"/>
        <v>56</v>
      </c>
      <c r="Z32" s="1">
        <f t="shared" si="19"/>
        <v>31.8</v>
      </c>
      <c r="AA32" s="1">
        <f t="shared" si="20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32"/>
        <v>0</v>
      </c>
      <c r="AI32" s="1"/>
      <c r="AJ32" s="1">
        <f t="shared" si="3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0"/>
      <c r="AV32" s="1"/>
      <c r="AW32" s="1"/>
      <c r="AX32" s="1"/>
      <c r="AY32" s="1"/>
      <c r="AZ32" s="1"/>
      <c r="BA32" s="1"/>
      <c r="BB32" s="1"/>
      <c r="BC32" s="2">
        <v>249.9</v>
      </c>
      <c r="BD32" s="1">
        <f t="shared" si="21"/>
        <v>3.3543624161073828</v>
      </c>
      <c r="BE32" s="2">
        <v>246.4</v>
      </c>
      <c r="BF32" s="1">
        <f t="shared" si="22"/>
        <v>3.3073825503355705</v>
      </c>
      <c r="BG32" s="2">
        <v>175</v>
      </c>
      <c r="BH32" s="1">
        <f t="shared" si="23"/>
        <v>2.348993288590604</v>
      </c>
      <c r="BI32" s="2">
        <v>186</v>
      </c>
      <c r="BJ32" s="1">
        <f t="shared" si="24"/>
        <v>2.4966442953020134</v>
      </c>
      <c r="BK32" s="2">
        <v>137.1</v>
      </c>
      <c r="BL32" s="1">
        <f t="shared" si="25"/>
        <v>1.8402684563758389</v>
      </c>
      <c r="BM32" s="2">
        <v>125</v>
      </c>
      <c r="BN32" s="1">
        <f t="shared" si="26"/>
        <v>1.6778523489932886</v>
      </c>
      <c r="BO32" s="2">
        <v>143</v>
      </c>
      <c r="BP32" s="1">
        <f t="shared" si="27"/>
        <v>1.919463087248322</v>
      </c>
      <c r="BQ32" s="2">
        <v>87</v>
      </c>
      <c r="BR32" s="1">
        <f t="shared" si="28"/>
        <v>1.1677852348993289</v>
      </c>
      <c r="BS32" s="2">
        <v>168</v>
      </c>
      <c r="BT32" s="1">
        <f t="shared" si="29"/>
        <v>2.2550335570469797</v>
      </c>
      <c r="BU32" s="2">
        <v>164</v>
      </c>
      <c r="BV32" s="1">
        <f t="shared" si="14"/>
        <v>2.2013422818791946</v>
      </c>
      <c r="BW32" s="1">
        <f t="shared" si="30"/>
        <v>0.96</v>
      </c>
      <c r="BX32" s="1">
        <f t="shared" si="31"/>
        <v>0.88172043010752688</v>
      </c>
    </row>
    <row r="33" spans="1:76" ht="14.25" customHeight="1" thickBot="1">
      <c r="A33" s="12" t="s">
        <v>124</v>
      </c>
      <c r="B33" s="2"/>
      <c r="C33" s="2"/>
      <c r="D33" s="2"/>
      <c r="E33" s="2"/>
      <c r="F33" s="32">
        <v>38689</v>
      </c>
      <c r="G33" s="2" t="s">
        <v>117</v>
      </c>
      <c r="H33" s="1"/>
      <c r="I33" s="21">
        <v>78.7</v>
      </c>
      <c r="J33" s="26"/>
      <c r="K33" s="1"/>
      <c r="L33" s="1"/>
      <c r="M33" s="6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8"/>
        <v>53.8</v>
      </c>
      <c r="Z33" s="1">
        <f t="shared" si="19"/>
        <v>47.7</v>
      </c>
      <c r="AA33" s="1">
        <f t="shared" si="20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32"/>
        <v>2.4523506988564168</v>
      </c>
      <c r="AI33" s="1"/>
      <c r="AJ33" s="1">
        <f t="shared" si="3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1">
        <v>17.5</v>
      </c>
      <c r="AV33" s="1"/>
      <c r="AW33" s="1"/>
      <c r="AX33" s="1"/>
      <c r="AY33" s="1"/>
      <c r="AZ33" s="1"/>
      <c r="BA33" s="1"/>
      <c r="BB33" s="1"/>
      <c r="BC33" s="2">
        <v>274</v>
      </c>
      <c r="BD33" s="1">
        <f t="shared" si="21"/>
        <v>3.4815756035578143</v>
      </c>
      <c r="BE33" s="2">
        <v>276</v>
      </c>
      <c r="BF33" s="1">
        <f t="shared" si="22"/>
        <v>3.5069885641677252</v>
      </c>
      <c r="BG33" s="2">
        <v>185</v>
      </c>
      <c r="BH33" s="1">
        <f t="shared" si="23"/>
        <v>2.3506988564167726</v>
      </c>
      <c r="BI33" s="2">
        <v>167</v>
      </c>
      <c r="BJ33" s="1">
        <f t="shared" si="24"/>
        <v>2.1219822109275728</v>
      </c>
      <c r="BK33" s="2">
        <v>162</v>
      </c>
      <c r="BL33" s="1">
        <f t="shared" si="25"/>
        <v>2.0584498094027954</v>
      </c>
      <c r="BM33" s="2">
        <v>180</v>
      </c>
      <c r="BN33" s="1">
        <f t="shared" si="26"/>
        <v>2.2871664548919948</v>
      </c>
      <c r="BO33" s="2">
        <v>150</v>
      </c>
      <c r="BP33" s="1">
        <f t="shared" si="27"/>
        <v>1.9059720457433291</v>
      </c>
      <c r="BQ33" s="2">
        <v>186</v>
      </c>
      <c r="BR33" s="1">
        <f t="shared" si="28"/>
        <v>2.363405336721728</v>
      </c>
      <c r="BS33" s="2">
        <v>184</v>
      </c>
      <c r="BT33" s="1">
        <f t="shared" si="29"/>
        <v>2.3379923761118171</v>
      </c>
      <c r="BU33" s="2">
        <v>247</v>
      </c>
      <c r="BV33" s="1">
        <f t="shared" si="14"/>
        <v>3.1385006353240152</v>
      </c>
      <c r="BW33" s="1">
        <f t="shared" si="30"/>
        <v>0.99459459459459465</v>
      </c>
      <c r="BX33" s="1">
        <f t="shared" si="31"/>
        <v>1.4790419161676647</v>
      </c>
    </row>
    <row r="34" spans="1:76" ht="14.25" customHeight="1" thickBot="1">
      <c r="A34" s="12" t="s">
        <v>125</v>
      </c>
      <c r="B34" s="2"/>
      <c r="C34" s="2"/>
      <c r="D34" s="2"/>
      <c r="E34" s="2"/>
      <c r="F34" s="31">
        <v>39013</v>
      </c>
      <c r="G34" s="2" t="s">
        <v>117</v>
      </c>
      <c r="H34" s="2">
        <v>19</v>
      </c>
      <c r="I34" s="18">
        <v>76.599999999999994</v>
      </c>
      <c r="J34" s="18">
        <v>188.4</v>
      </c>
      <c r="K34" s="1"/>
      <c r="L34" s="1"/>
      <c r="M34" s="6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8"/>
        <v>61.9</v>
      </c>
      <c r="Z34" s="1">
        <f t="shared" si="19"/>
        <v>49.6</v>
      </c>
      <c r="AA34" s="1">
        <f t="shared" si="20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32"/>
        <v>0</v>
      </c>
      <c r="AI34" s="1"/>
      <c r="AJ34" s="1">
        <f t="shared" si="3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18">
        <v>18.5</v>
      </c>
      <c r="AV34" s="1"/>
      <c r="AW34" s="1"/>
      <c r="AX34" s="1"/>
      <c r="AY34" s="1"/>
      <c r="AZ34" s="1"/>
      <c r="BA34" s="1"/>
      <c r="BB34" s="1"/>
      <c r="BC34" s="2">
        <v>245</v>
      </c>
      <c r="BD34" s="1">
        <f t="shared" si="21"/>
        <v>3.1984334203655354</v>
      </c>
      <c r="BE34" s="2">
        <v>225</v>
      </c>
      <c r="BF34" s="1">
        <f t="shared" si="22"/>
        <v>2.9373368146214101</v>
      </c>
      <c r="BG34" s="2">
        <v>151</v>
      </c>
      <c r="BH34" s="1">
        <f t="shared" si="23"/>
        <v>1.9712793733681464</v>
      </c>
      <c r="BI34" s="2">
        <v>148</v>
      </c>
      <c r="BJ34" s="1">
        <f t="shared" si="24"/>
        <v>1.9321148825065275</v>
      </c>
      <c r="BK34" s="2">
        <v>125</v>
      </c>
      <c r="BL34" s="1">
        <f t="shared" si="25"/>
        <v>1.6318537859007833</v>
      </c>
      <c r="BM34" s="2">
        <v>142</v>
      </c>
      <c r="BN34" s="1">
        <f t="shared" si="26"/>
        <v>1.85378590078329</v>
      </c>
      <c r="BO34" s="2">
        <v>169</v>
      </c>
      <c r="BP34" s="1">
        <f t="shared" si="27"/>
        <v>2.206266318537859</v>
      </c>
      <c r="BQ34" s="2">
        <v>179</v>
      </c>
      <c r="BR34" s="1">
        <f t="shared" si="28"/>
        <v>2.3368146214099217</v>
      </c>
      <c r="BS34" s="1"/>
      <c r="BT34" s="1">
        <f t="shared" si="29"/>
        <v>0</v>
      </c>
      <c r="BU34" s="1"/>
      <c r="BV34" s="1">
        <f t="shared" si="14"/>
        <v>0</v>
      </c>
      <c r="BW34" s="1">
        <f t="shared" si="30"/>
        <v>0</v>
      </c>
      <c r="BX34" s="1">
        <f t="shared" si="31"/>
        <v>0</v>
      </c>
    </row>
    <row r="35" spans="1:76" ht="14.25" customHeight="1" thickBot="1">
      <c r="A35" s="13" t="s">
        <v>126</v>
      </c>
      <c r="B35" s="2"/>
      <c r="C35" s="2"/>
      <c r="D35" s="2"/>
      <c r="E35" s="2"/>
      <c r="F35" s="32">
        <v>37600</v>
      </c>
      <c r="G35" s="2" t="s">
        <v>117</v>
      </c>
      <c r="H35" s="1"/>
      <c r="I35" s="21">
        <v>93</v>
      </c>
      <c r="J35" s="21">
        <v>190.5</v>
      </c>
      <c r="K35" s="1"/>
      <c r="L35" s="1"/>
      <c r="M35" s="6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8"/>
        <v>43.2</v>
      </c>
      <c r="Z35" s="1">
        <f t="shared" si="19"/>
        <v>51.2</v>
      </c>
      <c r="AA35" s="1">
        <f t="shared" si="20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32"/>
        <v>0</v>
      </c>
      <c r="AI35" s="1"/>
      <c r="AJ35" s="1">
        <f t="shared" si="3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1">
        <v>16</v>
      </c>
      <c r="AV35" s="1"/>
      <c r="AW35" s="1"/>
      <c r="AX35" s="1"/>
      <c r="AY35" s="1"/>
      <c r="AZ35" s="1"/>
      <c r="BA35" s="1"/>
      <c r="BB35" s="1"/>
      <c r="BC35" s="2">
        <v>290</v>
      </c>
      <c r="BD35" s="1">
        <f t="shared" si="21"/>
        <v>3.118279569892473</v>
      </c>
      <c r="BE35" s="2">
        <v>209</v>
      </c>
      <c r="BF35" s="1">
        <f t="shared" si="22"/>
        <v>2.247311827956989</v>
      </c>
      <c r="BG35" s="2">
        <v>228</v>
      </c>
      <c r="BH35" s="1">
        <f t="shared" si="23"/>
        <v>2.4516129032258065</v>
      </c>
      <c r="BI35" s="2">
        <v>206</v>
      </c>
      <c r="BJ35" s="1">
        <f t="shared" si="24"/>
        <v>2.21505376344086</v>
      </c>
      <c r="BK35" s="2">
        <v>143</v>
      </c>
      <c r="BL35" s="1">
        <f t="shared" si="25"/>
        <v>1.5376344086021505</v>
      </c>
      <c r="BM35" s="2">
        <v>142</v>
      </c>
      <c r="BN35" s="1">
        <f t="shared" si="26"/>
        <v>1.5268817204301075</v>
      </c>
      <c r="BO35" s="2">
        <v>208</v>
      </c>
      <c r="BP35" s="1">
        <f t="shared" si="27"/>
        <v>2.236559139784946</v>
      </c>
      <c r="BQ35" s="2">
        <v>143</v>
      </c>
      <c r="BR35" s="1">
        <f t="shared" si="28"/>
        <v>1.5376344086021505</v>
      </c>
      <c r="BS35" s="2">
        <v>186</v>
      </c>
      <c r="BT35" s="1">
        <f t="shared" si="29"/>
        <v>2</v>
      </c>
      <c r="BU35" s="2">
        <v>171</v>
      </c>
      <c r="BV35" s="1">
        <f t="shared" si="14"/>
        <v>1.8387096774193548</v>
      </c>
      <c r="BW35" s="1">
        <f t="shared" si="30"/>
        <v>0.81578947368421051</v>
      </c>
      <c r="BX35" s="1">
        <f t="shared" si="31"/>
        <v>0.83009708737864074</v>
      </c>
    </row>
    <row r="36" spans="1:76" ht="14.25" customHeight="1" thickBot="1">
      <c r="A36" s="14" t="s">
        <v>127</v>
      </c>
      <c r="B36" s="2"/>
      <c r="C36" s="2"/>
      <c r="D36" s="2"/>
      <c r="E36" s="2"/>
      <c r="F36" s="27"/>
      <c r="G36" s="2" t="s">
        <v>117</v>
      </c>
      <c r="H36" s="1"/>
      <c r="I36" s="18">
        <v>81.400000000000006</v>
      </c>
      <c r="J36" s="18">
        <v>186.5</v>
      </c>
      <c r="K36" s="1"/>
      <c r="L36" s="1"/>
      <c r="M36" s="6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8"/>
        <v>0</v>
      </c>
      <c r="Z36" s="1">
        <f t="shared" si="19"/>
        <v>41</v>
      </c>
      <c r="AA36" s="1">
        <f t="shared" si="20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32"/>
        <v>0</v>
      </c>
      <c r="AI36" s="1"/>
      <c r="AJ36" s="1">
        <f t="shared" si="3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18">
        <v>17</v>
      </c>
      <c r="AV36" s="1"/>
      <c r="AW36" s="1"/>
      <c r="AX36" s="1"/>
      <c r="AY36" s="1"/>
      <c r="AZ36" s="1"/>
      <c r="BA36" s="1"/>
      <c r="BB36" s="1"/>
      <c r="BC36" s="2">
        <v>339</v>
      </c>
      <c r="BD36" s="1">
        <f t="shared" si="21"/>
        <v>4.1646191646191646</v>
      </c>
      <c r="BE36" s="2">
        <v>316</v>
      </c>
      <c r="BF36" s="1">
        <f t="shared" si="22"/>
        <v>3.882063882063882</v>
      </c>
      <c r="BG36" s="2">
        <v>203</v>
      </c>
      <c r="BH36" s="1">
        <f t="shared" si="23"/>
        <v>2.4938574938574938</v>
      </c>
      <c r="BI36" s="2">
        <v>195</v>
      </c>
      <c r="BJ36" s="1">
        <f t="shared" si="24"/>
        <v>2.3955773955773956</v>
      </c>
      <c r="BK36" s="2">
        <v>184</v>
      </c>
      <c r="BL36" s="1">
        <f t="shared" si="25"/>
        <v>2.2604422604422605</v>
      </c>
      <c r="BM36" s="2">
        <v>143</v>
      </c>
      <c r="BN36" s="1">
        <f t="shared" si="26"/>
        <v>1.7567567567567566</v>
      </c>
      <c r="BO36" s="2">
        <v>127</v>
      </c>
      <c r="BP36" s="1">
        <f t="shared" si="27"/>
        <v>1.5601965601965602</v>
      </c>
      <c r="BQ36" s="2">
        <v>131</v>
      </c>
      <c r="BR36" s="1">
        <f t="shared" si="28"/>
        <v>1.6093366093366093</v>
      </c>
      <c r="BS36" s="2">
        <v>198</v>
      </c>
      <c r="BT36" s="1">
        <f t="shared" si="29"/>
        <v>2.4324324324324325</v>
      </c>
      <c r="BU36" s="2">
        <v>206</v>
      </c>
      <c r="BV36" s="1">
        <f t="shared" si="14"/>
        <v>2.5307125307125307</v>
      </c>
      <c r="BW36" s="1">
        <f t="shared" si="30"/>
        <v>0.97536945812807885</v>
      </c>
      <c r="BX36" s="1">
        <f t="shared" si="31"/>
        <v>1.0564102564102564</v>
      </c>
    </row>
    <row r="37" spans="1:76" ht="14.25" customHeight="1" thickBot="1">
      <c r="A37" s="13" t="s">
        <v>128</v>
      </c>
      <c r="B37" s="2"/>
      <c r="C37" s="2"/>
      <c r="D37" s="2"/>
      <c r="E37" s="2"/>
      <c r="F37" s="26"/>
      <c r="G37" s="2" t="s">
        <v>117</v>
      </c>
      <c r="H37" s="1"/>
      <c r="I37" s="21">
        <v>68.099999999999994</v>
      </c>
      <c r="J37" s="21">
        <v>180.3</v>
      </c>
      <c r="K37" s="1"/>
      <c r="L37" s="15"/>
      <c r="M37" s="6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8"/>
        <v>39.1</v>
      </c>
      <c r="Z37" s="1">
        <f t="shared" si="19"/>
        <v>29.1</v>
      </c>
      <c r="AA37" s="1">
        <f t="shared" si="20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32"/>
        <v>0</v>
      </c>
      <c r="AI37" s="1"/>
      <c r="AJ37" s="1">
        <f t="shared" si="3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1">
        <v>18</v>
      </c>
      <c r="AV37" s="1"/>
      <c r="AW37" s="1"/>
      <c r="AX37" s="1"/>
      <c r="AY37" s="1"/>
      <c r="AZ37" s="1"/>
      <c r="BA37" s="1"/>
      <c r="BB37" s="1"/>
      <c r="BC37" s="2">
        <v>246</v>
      </c>
      <c r="BD37" s="1">
        <f t="shared" si="21"/>
        <v>3.6123348017621146</v>
      </c>
      <c r="BE37" s="2">
        <v>205</v>
      </c>
      <c r="BF37" s="1">
        <f t="shared" si="22"/>
        <v>3.0102790014684291</v>
      </c>
      <c r="BG37" s="2">
        <v>158</v>
      </c>
      <c r="BH37" s="1">
        <f t="shared" si="23"/>
        <v>2.3201174743024966</v>
      </c>
      <c r="BI37" s="2">
        <v>140</v>
      </c>
      <c r="BJ37" s="1">
        <f t="shared" si="24"/>
        <v>2.0558002936857562</v>
      </c>
      <c r="BK37" s="2">
        <v>125</v>
      </c>
      <c r="BL37" s="1">
        <f t="shared" si="25"/>
        <v>1.8355359765051396</v>
      </c>
      <c r="BM37" s="2">
        <v>130</v>
      </c>
      <c r="BN37" s="1">
        <f t="shared" si="26"/>
        <v>1.9089574155653453</v>
      </c>
      <c r="BO37" s="2">
        <v>133</v>
      </c>
      <c r="BP37" s="1">
        <f t="shared" si="27"/>
        <v>1.9530102790014685</v>
      </c>
      <c r="BQ37" s="2">
        <v>88</v>
      </c>
      <c r="BR37" s="1">
        <f t="shared" si="28"/>
        <v>1.2922173274596183</v>
      </c>
      <c r="BS37" s="2">
        <v>166</v>
      </c>
      <c r="BT37" s="1">
        <f t="shared" si="29"/>
        <v>2.4375917767988255</v>
      </c>
      <c r="BU37" s="1"/>
      <c r="BV37" s="1">
        <f t="shared" si="14"/>
        <v>0</v>
      </c>
      <c r="BW37" s="1">
        <f t="shared" si="30"/>
        <v>1.0506329113924051</v>
      </c>
      <c r="BX37" s="1">
        <f t="shared" si="31"/>
        <v>0</v>
      </c>
    </row>
    <row r="38" spans="1:76" ht="14.25" customHeight="1" thickBot="1">
      <c r="A38" s="13" t="s">
        <v>129</v>
      </c>
      <c r="B38" s="2"/>
      <c r="C38" s="2"/>
      <c r="D38" s="2"/>
      <c r="E38" s="2"/>
      <c r="F38" s="31">
        <v>37488</v>
      </c>
      <c r="G38" s="2" t="s">
        <v>117</v>
      </c>
      <c r="H38" s="2">
        <v>23</v>
      </c>
      <c r="I38" s="18">
        <v>67</v>
      </c>
      <c r="J38" s="18">
        <v>175.5</v>
      </c>
      <c r="K38" s="1"/>
      <c r="L38" s="1"/>
      <c r="M38" s="6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8"/>
        <v>65.7</v>
      </c>
      <c r="Z38" s="1">
        <f t="shared" si="19"/>
        <v>43.599999999999994</v>
      </c>
      <c r="AA38" s="1">
        <f t="shared" si="20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32"/>
        <v>0</v>
      </c>
      <c r="AI38" s="1"/>
      <c r="AJ38" s="1">
        <f t="shared" si="3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18">
        <v>18</v>
      </c>
      <c r="AV38" s="1"/>
      <c r="AW38" s="1"/>
      <c r="AX38" s="1"/>
      <c r="AY38" s="1"/>
      <c r="AZ38" s="1"/>
      <c r="BA38" s="1"/>
      <c r="BB38" s="1"/>
      <c r="BC38" s="2">
        <v>226</v>
      </c>
      <c r="BD38" s="1">
        <f t="shared" si="21"/>
        <v>3.3731343283582089</v>
      </c>
      <c r="BE38" s="2">
        <v>194</v>
      </c>
      <c r="BF38" s="1">
        <f t="shared" si="22"/>
        <v>2.8955223880597014</v>
      </c>
      <c r="BG38" s="2">
        <v>151</v>
      </c>
      <c r="BH38" s="1">
        <f t="shared" si="23"/>
        <v>2.2537313432835822</v>
      </c>
      <c r="BI38" s="2">
        <v>128</v>
      </c>
      <c r="BJ38" s="1">
        <f t="shared" si="24"/>
        <v>1.9104477611940298</v>
      </c>
      <c r="BK38" s="2">
        <v>122</v>
      </c>
      <c r="BL38" s="1">
        <f t="shared" si="25"/>
        <v>1.8208955223880596</v>
      </c>
      <c r="BM38" s="2">
        <v>116</v>
      </c>
      <c r="BN38" s="1">
        <f t="shared" si="26"/>
        <v>1.7313432835820894</v>
      </c>
      <c r="BO38" s="2">
        <v>113</v>
      </c>
      <c r="BP38" s="1">
        <f t="shared" si="27"/>
        <v>1.6865671641791045</v>
      </c>
      <c r="BQ38" s="2">
        <v>88</v>
      </c>
      <c r="BR38" s="1">
        <f t="shared" si="28"/>
        <v>1.3134328358208955</v>
      </c>
      <c r="BS38" s="2">
        <v>167</v>
      </c>
      <c r="BT38" s="1">
        <f t="shared" si="29"/>
        <v>2.4925373134328357</v>
      </c>
      <c r="BU38" s="2">
        <v>146</v>
      </c>
      <c r="BV38" s="1">
        <f t="shared" si="14"/>
        <v>2.1791044776119404</v>
      </c>
      <c r="BW38" s="1">
        <f t="shared" si="30"/>
        <v>1.1059602649006623</v>
      </c>
      <c r="BX38" s="1">
        <f t="shared" si="31"/>
        <v>1.140625</v>
      </c>
    </row>
    <row r="39" spans="1:76" ht="14.25" customHeight="1" thickBot="1">
      <c r="A39" s="14" t="s">
        <v>130</v>
      </c>
      <c r="B39" s="2"/>
      <c r="C39" s="2"/>
      <c r="D39" s="2"/>
      <c r="E39" s="2"/>
      <c r="F39" s="32">
        <v>37859</v>
      </c>
      <c r="G39" s="2" t="s">
        <v>117</v>
      </c>
      <c r="H39" s="1"/>
      <c r="I39" s="21">
        <v>70.2</v>
      </c>
      <c r="J39" s="21">
        <v>173.6</v>
      </c>
      <c r="K39" s="1"/>
      <c r="L39" s="1"/>
      <c r="M39" s="6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8"/>
        <v>52.4</v>
      </c>
      <c r="Z39" s="1">
        <f t="shared" si="19"/>
        <v>55.9</v>
      </c>
      <c r="AA39" s="1">
        <f t="shared" si="20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32"/>
        <v>0</v>
      </c>
      <c r="AI39" s="1"/>
      <c r="AJ39" s="1">
        <f t="shared" si="3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1">
        <v>17</v>
      </c>
      <c r="AV39" s="1"/>
      <c r="AW39" s="1"/>
      <c r="AX39" s="1"/>
      <c r="AY39" s="1"/>
      <c r="AZ39" s="1"/>
      <c r="BA39" s="1"/>
      <c r="BB39" s="1"/>
      <c r="BC39" s="2">
        <v>200</v>
      </c>
      <c r="BD39" s="1">
        <f t="shared" si="21"/>
        <v>2.8490028490028489</v>
      </c>
      <c r="BE39" s="2">
        <v>213</v>
      </c>
      <c r="BF39" s="1">
        <f t="shared" si="22"/>
        <v>3.0341880341880341</v>
      </c>
      <c r="BG39" s="2">
        <v>136</v>
      </c>
      <c r="BH39" s="1">
        <f t="shared" si="23"/>
        <v>1.9373219373219372</v>
      </c>
      <c r="BI39" s="2">
        <v>142</v>
      </c>
      <c r="BJ39" s="1">
        <f t="shared" si="24"/>
        <v>2.0227920227920229</v>
      </c>
      <c r="BK39" s="2">
        <v>110</v>
      </c>
      <c r="BL39" s="1">
        <f t="shared" si="25"/>
        <v>1.5669515669515668</v>
      </c>
      <c r="BM39" s="2">
        <v>87</v>
      </c>
      <c r="BN39" s="1">
        <f t="shared" si="26"/>
        <v>1.2393162393162394</v>
      </c>
      <c r="BO39" s="2">
        <v>84</v>
      </c>
      <c r="BP39" s="1">
        <f t="shared" si="27"/>
        <v>1.1965811965811965</v>
      </c>
      <c r="BQ39" s="2">
        <v>79</v>
      </c>
      <c r="BR39" s="1">
        <f t="shared" si="28"/>
        <v>1.1253561253561253</v>
      </c>
      <c r="BS39" s="1"/>
      <c r="BT39" s="1">
        <f t="shared" si="29"/>
        <v>0</v>
      </c>
      <c r="BU39" s="2">
        <v>121</v>
      </c>
      <c r="BV39" s="1">
        <f t="shared" si="14"/>
        <v>1.7236467236467237</v>
      </c>
      <c r="BW39" s="1">
        <f t="shared" si="30"/>
        <v>0</v>
      </c>
      <c r="BX39" s="1">
        <f t="shared" si="31"/>
        <v>0.852112676056338</v>
      </c>
    </row>
    <row r="40" spans="1:76" ht="14.25" customHeight="1" thickBot="1">
      <c r="A40" s="13" t="s">
        <v>131</v>
      </c>
      <c r="B40" s="2">
        <v>68</v>
      </c>
      <c r="C40" s="2" t="s">
        <v>81</v>
      </c>
      <c r="D40" s="2"/>
      <c r="E40" s="2" t="s">
        <v>132</v>
      </c>
      <c r="F40" s="31">
        <v>39424</v>
      </c>
      <c r="G40" s="2" t="s">
        <v>117</v>
      </c>
      <c r="H40" s="1"/>
      <c r="I40" s="18">
        <v>71</v>
      </c>
      <c r="J40" s="18">
        <v>172.5</v>
      </c>
      <c r="K40" s="1"/>
      <c r="L40" s="1"/>
      <c r="M40" s="6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8"/>
        <v>62.599999999999994</v>
      </c>
      <c r="Z40" s="1">
        <f t="shared" si="19"/>
        <v>43.7</v>
      </c>
      <c r="AA40" s="1">
        <f t="shared" si="20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32"/>
        <v>0</v>
      </c>
      <c r="AI40" s="1"/>
      <c r="AJ40" s="1">
        <f t="shared" si="3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18">
        <v>15.5</v>
      </c>
      <c r="AV40" s="1"/>
      <c r="AW40" s="1"/>
      <c r="AX40" s="1"/>
      <c r="AY40" s="1"/>
      <c r="AZ40" s="1"/>
      <c r="BA40" s="1"/>
      <c r="BB40" s="1"/>
      <c r="BC40" s="2">
        <v>230</v>
      </c>
      <c r="BD40" s="1">
        <f t="shared" si="21"/>
        <v>3.23943661971831</v>
      </c>
      <c r="BE40" s="2">
        <v>237</v>
      </c>
      <c r="BF40" s="1">
        <f t="shared" si="22"/>
        <v>3.3380281690140845</v>
      </c>
      <c r="BG40" s="2">
        <v>158</v>
      </c>
      <c r="BH40" s="1">
        <f t="shared" si="23"/>
        <v>2.2253521126760565</v>
      </c>
      <c r="BI40" s="2">
        <v>163</v>
      </c>
      <c r="BJ40" s="1">
        <f t="shared" si="24"/>
        <v>2.295774647887324</v>
      </c>
      <c r="BK40" s="2">
        <v>113</v>
      </c>
      <c r="BL40" s="1">
        <f t="shared" si="25"/>
        <v>1.591549295774648</v>
      </c>
      <c r="BM40" s="2">
        <v>123</v>
      </c>
      <c r="BN40" s="1">
        <f t="shared" si="26"/>
        <v>1.732394366197183</v>
      </c>
      <c r="BO40" s="2">
        <v>91</v>
      </c>
      <c r="BP40" s="1">
        <f t="shared" si="27"/>
        <v>1.2816901408450705</v>
      </c>
      <c r="BQ40" s="2">
        <v>109</v>
      </c>
      <c r="BR40" s="1">
        <f t="shared" si="28"/>
        <v>1.5352112676056338</v>
      </c>
      <c r="BS40" s="2">
        <v>144</v>
      </c>
      <c r="BT40" s="1">
        <f t="shared" si="29"/>
        <v>2.028169014084507</v>
      </c>
      <c r="BU40" s="2">
        <v>146</v>
      </c>
      <c r="BV40" s="1">
        <f t="shared" si="14"/>
        <v>2.056338028169014</v>
      </c>
      <c r="BW40" s="1">
        <f t="shared" si="30"/>
        <v>0.91139240506329111</v>
      </c>
      <c r="BX40" s="1">
        <f t="shared" si="31"/>
        <v>0.89570552147239269</v>
      </c>
    </row>
    <row r="41" spans="1:76" ht="14.25" customHeight="1" thickBot="1">
      <c r="A41" s="13" t="s">
        <v>133</v>
      </c>
      <c r="B41" s="2"/>
      <c r="C41" s="2"/>
      <c r="D41" s="2"/>
      <c r="E41" s="2"/>
      <c r="F41" s="26"/>
      <c r="G41" s="2" t="s">
        <v>117</v>
      </c>
      <c r="H41" s="1"/>
      <c r="I41" s="26"/>
      <c r="J41" s="26"/>
      <c r="K41" s="1"/>
      <c r="L41" s="1"/>
      <c r="M41" s="6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8"/>
        <v>0</v>
      </c>
      <c r="Z41" s="1">
        <f t="shared" si="19"/>
        <v>0</v>
      </c>
      <c r="AA41" s="1" t="e">
        <f t="shared" si="20"/>
        <v>#DIV/0!</v>
      </c>
      <c r="AB41" s="1"/>
      <c r="AC41" s="1"/>
      <c r="AD41" s="1"/>
      <c r="AE41" s="1"/>
      <c r="AF41" s="1"/>
      <c r="AG41" s="1"/>
      <c r="AH41" s="1" t="e">
        <f t="shared" si="32"/>
        <v>#DIV/0!</v>
      </c>
      <c r="AI41" s="1"/>
      <c r="AJ41" s="1" t="e">
        <f t="shared" si="3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9"/>
      <c r="AV41" s="1"/>
      <c r="AW41" s="1"/>
      <c r="AX41" s="1"/>
      <c r="AY41" s="1"/>
      <c r="AZ41" s="1"/>
      <c r="BA41" s="1"/>
      <c r="BB41" s="1"/>
      <c r="BC41" s="1"/>
      <c r="BD41" s="1" t="e">
        <f t="shared" si="21"/>
        <v>#DIV/0!</v>
      </c>
      <c r="BE41" s="1"/>
      <c r="BF41" s="1" t="e">
        <f t="shared" si="22"/>
        <v>#DIV/0!</v>
      </c>
      <c r="BG41" s="1"/>
      <c r="BH41" s="1" t="e">
        <f t="shared" si="23"/>
        <v>#DIV/0!</v>
      </c>
      <c r="BI41" s="1"/>
      <c r="BJ41" s="1" t="e">
        <f t="shared" si="24"/>
        <v>#DIV/0!</v>
      </c>
      <c r="BK41" s="1"/>
      <c r="BL41" s="1" t="e">
        <f t="shared" si="25"/>
        <v>#DIV/0!</v>
      </c>
      <c r="BM41" s="1"/>
      <c r="BN41" s="1" t="e">
        <f t="shared" si="26"/>
        <v>#DIV/0!</v>
      </c>
      <c r="BO41" s="1"/>
      <c r="BP41" s="1" t="e">
        <f t="shared" si="27"/>
        <v>#DIV/0!</v>
      </c>
      <c r="BQ41" s="1"/>
      <c r="BR41" s="1" t="e">
        <f t="shared" si="28"/>
        <v>#DIV/0!</v>
      </c>
      <c r="BS41" s="1"/>
      <c r="BT41" s="1" t="e">
        <f t="shared" si="29"/>
        <v>#DIV/0!</v>
      </c>
      <c r="BU41" s="1"/>
      <c r="BV41" s="1" t="e">
        <f t="shared" si="14"/>
        <v>#DIV/0!</v>
      </c>
      <c r="BW41" s="1" t="e">
        <f t="shared" si="30"/>
        <v>#DIV/0!</v>
      </c>
      <c r="BX41" s="1" t="e">
        <f t="shared" si="31"/>
        <v>#DIV/0!</v>
      </c>
    </row>
    <row r="42" spans="1:76" ht="14.25" customHeight="1" thickBot="1">
      <c r="A42" s="13" t="s">
        <v>134</v>
      </c>
      <c r="B42" s="2"/>
      <c r="C42" s="2"/>
      <c r="D42" s="2"/>
      <c r="E42" s="2"/>
      <c r="F42" s="31">
        <v>39189</v>
      </c>
      <c r="G42" s="2" t="s">
        <v>117</v>
      </c>
      <c r="H42" s="1"/>
      <c r="I42" s="18">
        <v>71.099999999999994</v>
      </c>
      <c r="J42" s="18">
        <v>177.5</v>
      </c>
      <c r="K42" s="1"/>
      <c r="L42" s="1"/>
      <c r="M42" s="6">
        <v>46199</v>
      </c>
      <c r="N42" s="2" t="s">
        <v>135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8"/>
        <v>43.8</v>
      </c>
      <c r="Z42" s="1">
        <f t="shared" si="19"/>
        <v>49.9</v>
      </c>
      <c r="AA42" s="1">
        <f t="shared" si="20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32"/>
        <v>0</v>
      </c>
      <c r="AI42" s="1"/>
      <c r="AJ42" s="1">
        <f t="shared" si="3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18">
        <v>17</v>
      </c>
      <c r="AV42" s="1"/>
      <c r="AW42" s="1"/>
      <c r="AX42" s="1"/>
      <c r="AY42" s="1"/>
      <c r="AZ42" s="1"/>
      <c r="BA42" s="1"/>
      <c r="BB42" s="1"/>
      <c r="BC42" s="2">
        <v>212</v>
      </c>
      <c r="BD42" s="1">
        <f t="shared" si="21"/>
        <v>2.9817158931082983</v>
      </c>
      <c r="BE42" s="2">
        <v>268</v>
      </c>
      <c r="BF42" s="1">
        <f t="shared" si="22"/>
        <v>3.7693389592123774</v>
      </c>
      <c r="BG42" s="2">
        <v>172</v>
      </c>
      <c r="BH42" s="1">
        <f t="shared" si="23"/>
        <v>2.419127988748242</v>
      </c>
      <c r="BI42" s="2">
        <v>175</v>
      </c>
      <c r="BJ42" s="1">
        <f t="shared" si="24"/>
        <v>2.4613220815752461</v>
      </c>
      <c r="BK42" s="2">
        <v>153</v>
      </c>
      <c r="BL42" s="1">
        <f t="shared" si="25"/>
        <v>2.1518987341772156</v>
      </c>
      <c r="BM42" s="2">
        <v>167</v>
      </c>
      <c r="BN42" s="1">
        <f t="shared" si="26"/>
        <v>2.3488045007032352</v>
      </c>
      <c r="BO42" s="2">
        <v>131</v>
      </c>
      <c r="BP42" s="1">
        <f t="shared" si="27"/>
        <v>1.8424753867791843</v>
      </c>
      <c r="BQ42" s="2">
        <v>138</v>
      </c>
      <c r="BR42" s="1">
        <f t="shared" si="28"/>
        <v>1.9409282700421941</v>
      </c>
      <c r="BS42" s="2">
        <v>166</v>
      </c>
      <c r="BT42" s="1">
        <f t="shared" si="29"/>
        <v>2.3347398030942337</v>
      </c>
      <c r="BU42" s="2">
        <v>145</v>
      </c>
      <c r="BV42" s="1">
        <f t="shared" si="14"/>
        <v>2.0393811533052042</v>
      </c>
      <c r="BW42" s="1">
        <f t="shared" si="30"/>
        <v>0.96511627906976749</v>
      </c>
      <c r="BX42" s="1">
        <f t="shared" si="31"/>
        <v>0.82857142857142863</v>
      </c>
    </row>
    <row r="43" spans="1:76" ht="14.25" customHeight="1" thickBot="1">
      <c r="A43" s="13" t="s">
        <v>136</v>
      </c>
      <c r="B43" s="2">
        <v>71</v>
      </c>
      <c r="C43" s="2" t="s">
        <v>76</v>
      </c>
      <c r="D43" s="2"/>
      <c r="E43" s="2" t="s">
        <v>137</v>
      </c>
      <c r="F43" s="32">
        <v>39110</v>
      </c>
      <c r="G43" s="2" t="s">
        <v>117</v>
      </c>
      <c r="H43" s="2">
        <v>19</v>
      </c>
      <c r="I43" s="21">
        <v>92.5</v>
      </c>
      <c r="J43" s="21">
        <v>192</v>
      </c>
      <c r="K43" s="1"/>
      <c r="L43" s="1"/>
      <c r="M43" s="6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8"/>
        <v>84.2</v>
      </c>
      <c r="Z43" s="1">
        <f t="shared" si="19"/>
        <v>58.3</v>
      </c>
      <c r="AA43" s="1">
        <f t="shared" si="20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32"/>
        <v>0</v>
      </c>
      <c r="AI43" s="1"/>
      <c r="AJ43" s="1">
        <f t="shared" si="3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1">
        <v>17</v>
      </c>
      <c r="AV43" s="1"/>
      <c r="AW43" s="1"/>
      <c r="AX43" s="1"/>
      <c r="AY43" s="1"/>
      <c r="AZ43" s="1"/>
      <c r="BA43" s="1"/>
      <c r="BB43" s="1"/>
      <c r="BC43" s="1"/>
      <c r="BD43" s="1">
        <f t="shared" si="21"/>
        <v>0</v>
      </c>
      <c r="BE43" s="2">
        <v>265</v>
      </c>
      <c r="BF43" s="1">
        <f t="shared" si="22"/>
        <v>2.8648648648648649</v>
      </c>
      <c r="BG43" s="2">
        <v>169</v>
      </c>
      <c r="BH43" s="1">
        <f t="shared" si="23"/>
        <v>1.827027027027027</v>
      </c>
      <c r="BI43" s="2">
        <v>165</v>
      </c>
      <c r="BJ43" s="1">
        <f t="shared" si="24"/>
        <v>1.7837837837837838</v>
      </c>
      <c r="BK43" s="2">
        <v>210</v>
      </c>
      <c r="BL43" s="1">
        <f t="shared" si="25"/>
        <v>2.2702702702702702</v>
      </c>
      <c r="BM43" s="2">
        <v>180</v>
      </c>
      <c r="BN43" s="1">
        <f t="shared" si="26"/>
        <v>1.9459459459459461</v>
      </c>
      <c r="BO43" s="2">
        <v>190</v>
      </c>
      <c r="BP43" s="1">
        <f t="shared" si="27"/>
        <v>2.0540540540540539</v>
      </c>
      <c r="BQ43" s="2">
        <v>167</v>
      </c>
      <c r="BR43" s="1">
        <f t="shared" si="28"/>
        <v>1.8054054054054054</v>
      </c>
      <c r="BS43" s="2">
        <v>254</v>
      </c>
      <c r="BT43" s="1">
        <f t="shared" si="29"/>
        <v>2.7459459459459459</v>
      </c>
      <c r="BU43" s="2">
        <v>251</v>
      </c>
      <c r="BV43" s="1">
        <f t="shared" si="14"/>
        <v>2.7135135135135133</v>
      </c>
      <c r="BW43" s="1">
        <f t="shared" si="30"/>
        <v>1.5029585798816567</v>
      </c>
      <c r="BX43" s="1">
        <f t="shared" si="31"/>
        <v>1.5212121212121212</v>
      </c>
    </row>
    <row r="44" spans="1:76" ht="14.25" customHeight="1" thickBot="1">
      <c r="A44" s="13" t="s">
        <v>138</v>
      </c>
      <c r="B44" s="2">
        <v>82</v>
      </c>
      <c r="C44" s="2" t="s">
        <v>81</v>
      </c>
      <c r="D44" s="2"/>
      <c r="E44" s="2" t="s">
        <v>139</v>
      </c>
      <c r="F44" s="31">
        <v>39256</v>
      </c>
      <c r="G44" s="2" t="s">
        <v>117</v>
      </c>
      <c r="H44" s="1"/>
      <c r="I44" s="18">
        <v>65.400000000000006</v>
      </c>
      <c r="J44" s="18">
        <v>169</v>
      </c>
      <c r="K44" s="1"/>
      <c r="L44" s="1"/>
      <c r="M44" s="6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8"/>
        <v>45.8</v>
      </c>
      <c r="Z44" s="1">
        <f t="shared" si="19"/>
        <v>34.1</v>
      </c>
      <c r="AA44" s="1">
        <f t="shared" si="20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32"/>
        <v>0</v>
      </c>
      <c r="AI44" s="1"/>
      <c r="AJ44" s="1">
        <f t="shared" si="3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18">
        <v>15.5</v>
      </c>
      <c r="AV44" s="1"/>
      <c r="AW44" s="1"/>
      <c r="AX44" s="1"/>
      <c r="AY44" s="1"/>
      <c r="AZ44" s="1"/>
      <c r="BA44" s="1"/>
      <c r="BB44" s="1"/>
      <c r="BC44" s="2">
        <v>225</v>
      </c>
      <c r="BD44" s="1">
        <f t="shared" si="21"/>
        <v>3.4403669724770638</v>
      </c>
      <c r="BE44" s="2">
        <v>236</v>
      </c>
      <c r="BF44" s="1">
        <f t="shared" si="22"/>
        <v>3.6085626911314983</v>
      </c>
      <c r="BG44" s="2">
        <v>153</v>
      </c>
      <c r="BH44" s="1">
        <f t="shared" si="23"/>
        <v>2.3394495412844036</v>
      </c>
      <c r="BI44" s="2">
        <v>145</v>
      </c>
      <c r="BJ44" s="1">
        <f t="shared" si="24"/>
        <v>2.2171253822629966</v>
      </c>
      <c r="BK44" s="2">
        <v>129</v>
      </c>
      <c r="BL44" s="1">
        <f t="shared" si="25"/>
        <v>1.9724770642201832</v>
      </c>
      <c r="BM44" s="2">
        <v>140</v>
      </c>
      <c r="BN44" s="1">
        <f t="shared" si="26"/>
        <v>2.1406727828746175</v>
      </c>
      <c r="BO44" s="2">
        <v>99</v>
      </c>
      <c r="BP44" s="1">
        <f t="shared" si="27"/>
        <v>1.5137614678899081</v>
      </c>
      <c r="BQ44" s="2">
        <v>108</v>
      </c>
      <c r="BR44" s="1">
        <f t="shared" si="28"/>
        <v>1.6513761467889907</v>
      </c>
      <c r="BS44" s="2">
        <v>125</v>
      </c>
      <c r="BT44" s="1">
        <f t="shared" si="29"/>
        <v>1.9113149847094799</v>
      </c>
      <c r="BU44" s="2">
        <v>129</v>
      </c>
      <c r="BV44" s="1">
        <f t="shared" si="14"/>
        <v>1.9724770642201832</v>
      </c>
      <c r="BW44" s="1">
        <f t="shared" si="30"/>
        <v>0.81699346405228757</v>
      </c>
      <c r="BX44" s="1">
        <f t="shared" si="31"/>
        <v>0.8896551724137931</v>
      </c>
    </row>
    <row r="45" spans="1:76" ht="14.25" customHeight="1" thickBot="1">
      <c r="A45" s="13" t="s">
        <v>140</v>
      </c>
      <c r="B45" s="2">
        <v>75</v>
      </c>
      <c r="C45" s="2" t="s">
        <v>81</v>
      </c>
      <c r="D45" s="2"/>
      <c r="E45" s="2" t="s">
        <v>137</v>
      </c>
      <c r="F45" s="32">
        <v>39139</v>
      </c>
      <c r="G45" s="2" t="s">
        <v>117</v>
      </c>
      <c r="H45" s="1"/>
      <c r="I45" s="21">
        <v>86</v>
      </c>
      <c r="J45" s="21">
        <v>193</v>
      </c>
      <c r="K45" s="1"/>
      <c r="L45" s="6">
        <v>46199</v>
      </c>
      <c r="M45" s="6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8"/>
        <v>74.699999999999989</v>
      </c>
      <c r="Z45" s="1" t="e">
        <f t="shared" si="19"/>
        <v>#VALUE!</v>
      </c>
      <c r="AA45" s="1" t="e">
        <f t="shared" si="20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32"/>
        <v>0</v>
      </c>
      <c r="AI45" s="1"/>
      <c r="AJ45" s="1">
        <f t="shared" si="3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1">
        <v>17.5</v>
      </c>
      <c r="AV45" s="1"/>
      <c r="AW45" s="1"/>
      <c r="AX45" s="1"/>
      <c r="AY45" s="1"/>
      <c r="AZ45" s="1"/>
      <c r="BA45" s="1"/>
      <c r="BB45" s="1"/>
      <c r="BC45" s="2">
        <v>187</v>
      </c>
      <c r="BD45" s="1">
        <f t="shared" si="21"/>
        <v>2.1744186046511627</v>
      </c>
      <c r="BE45" s="2">
        <v>245</v>
      </c>
      <c r="BF45" s="1">
        <f t="shared" si="22"/>
        <v>2.8488372093023258</v>
      </c>
      <c r="BG45" s="2">
        <v>141</v>
      </c>
      <c r="BH45" s="1">
        <f t="shared" si="23"/>
        <v>1.6395348837209303</v>
      </c>
      <c r="BI45" s="2">
        <v>178</v>
      </c>
      <c r="BJ45" s="1">
        <f t="shared" si="24"/>
        <v>2.0697674418604652</v>
      </c>
      <c r="BK45" s="2">
        <v>155</v>
      </c>
      <c r="BL45" s="1">
        <f t="shared" si="25"/>
        <v>1.8023255813953489</v>
      </c>
      <c r="BM45" s="2">
        <v>171</v>
      </c>
      <c r="BN45" s="1">
        <f t="shared" si="26"/>
        <v>1.9883720930232558</v>
      </c>
      <c r="BO45" s="2">
        <v>102</v>
      </c>
      <c r="BP45" s="1">
        <f t="shared" si="27"/>
        <v>1.1860465116279071</v>
      </c>
      <c r="BQ45" s="2">
        <v>131</v>
      </c>
      <c r="BR45" s="1">
        <f t="shared" si="28"/>
        <v>1.5232558139534884</v>
      </c>
      <c r="BS45" s="2">
        <v>221</v>
      </c>
      <c r="BT45" s="1">
        <f t="shared" si="29"/>
        <v>2.5697674418604652</v>
      </c>
      <c r="BU45" s="2">
        <v>236</v>
      </c>
      <c r="BV45" s="1">
        <f t="shared" si="14"/>
        <v>2.7441860465116279</v>
      </c>
      <c r="BW45" s="1">
        <f t="shared" si="30"/>
        <v>1.5673758865248226</v>
      </c>
      <c r="BX45" s="1">
        <f t="shared" si="31"/>
        <v>1.3258426966292134</v>
      </c>
    </row>
    <row r="46" spans="1:76" ht="14.25" customHeight="1" thickBot="1">
      <c r="A46" s="13" t="s">
        <v>142</v>
      </c>
      <c r="B46" s="2"/>
      <c r="C46" s="2"/>
      <c r="D46" s="2"/>
      <c r="E46" s="2"/>
      <c r="F46" s="27"/>
      <c r="G46" s="2" t="s">
        <v>117</v>
      </c>
      <c r="H46" s="1"/>
      <c r="I46" s="18">
        <v>79</v>
      </c>
      <c r="J46" s="18">
        <v>182.5</v>
      </c>
      <c r="K46" s="1"/>
      <c r="L46" s="1"/>
      <c r="M46" s="6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8"/>
        <v>42.5</v>
      </c>
      <c r="Z46" s="1">
        <f t="shared" si="19"/>
        <v>46.900000000000006</v>
      </c>
      <c r="AA46" s="1">
        <f t="shared" si="20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32"/>
        <v>0</v>
      </c>
      <c r="AI46" s="1"/>
      <c r="AJ46" s="1">
        <f t="shared" si="3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0"/>
      <c r="AV46" s="1"/>
      <c r="AW46" s="1"/>
      <c r="AX46" s="1"/>
      <c r="AY46" s="1"/>
      <c r="AZ46" s="1"/>
      <c r="BA46" s="1"/>
      <c r="BB46" s="1"/>
      <c r="BC46" s="2">
        <v>113</v>
      </c>
      <c r="BD46" s="1">
        <f t="shared" si="21"/>
        <v>1.4303797468354431</v>
      </c>
      <c r="BE46" s="2">
        <v>254</v>
      </c>
      <c r="BF46" s="1">
        <f t="shared" si="22"/>
        <v>3.2151898734177213</v>
      </c>
      <c r="BG46" s="2">
        <v>82</v>
      </c>
      <c r="BH46" s="1">
        <f t="shared" si="23"/>
        <v>1.0379746835443038</v>
      </c>
      <c r="BI46" s="2">
        <v>192</v>
      </c>
      <c r="BJ46" s="1">
        <f t="shared" si="24"/>
        <v>2.4303797468354431</v>
      </c>
      <c r="BK46" s="2">
        <v>180</v>
      </c>
      <c r="BL46" s="1">
        <f t="shared" si="25"/>
        <v>2.278481012658228</v>
      </c>
      <c r="BM46" s="2">
        <v>170</v>
      </c>
      <c r="BN46" s="1">
        <f t="shared" si="26"/>
        <v>2.1518987341772151</v>
      </c>
      <c r="BO46" s="2">
        <v>171</v>
      </c>
      <c r="BP46" s="1">
        <f t="shared" si="27"/>
        <v>2.1645569620253164</v>
      </c>
      <c r="BQ46" s="2">
        <v>142</v>
      </c>
      <c r="BR46" s="1">
        <f t="shared" si="28"/>
        <v>1.7974683544303798</v>
      </c>
      <c r="BS46" s="2">
        <v>230</v>
      </c>
      <c r="BT46" s="1">
        <f t="shared" si="29"/>
        <v>2.9113924050632911</v>
      </c>
      <c r="BU46" s="2">
        <v>213</v>
      </c>
      <c r="BV46" s="1">
        <f t="shared" si="14"/>
        <v>2.6962025316455698</v>
      </c>
      <c r="BW46" s="1">
        <f t="shared" si="30"/>
        <v>2.8048780487804876</v>
      </c>
      <c r="BX46" s="1">
        <f t="shared" si="31"/>
        <v>1.109375</v>
      </c>
    </row>
    <row r="47" spans="1:76" ht="14.25" customHeight="1" thickBot="1">
      <c r="A47" s="13" t="s">
        <v>143</v>
      </c>
      <c r="B47" s="2"/>
      <c r="C47" s="2"/>
      <c r="D47" s="2"/>
      <c r="E47" s="2"/>
      <c r="F47" s="26"/>
      <c r="G47" s="2" t="s">
        <v>144</v>
      </c>
      <c r="H47" s="1"/>
      <c r="I47" s="21">
        <v>72.3</v>
      </c>
      <c r="J47" s="21">
        <v>185</v>
      </c>
      <c r="K47" s="1"/>
      <c r="L47" s="6">
        <v>46202</v>
      </c>
      <c r="M47" s="6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8"/>
        <v>0</v>
      </c>
      <c r="Z47" s="1">
        <f t="shared" si="19"/>
        <v>0</v>
      </c>
      <c r="AA47" s="1" t="e">
        <f t="shared" si="20"/>
        <v>#DIV/0!</v>
      </c>
      <c r="AB47" s="1"/>
      <c r="AC47" s="1"/>
      <c r="AD47" s="1"/>
      <c r="AE47" s="1"/>
      <c r="AF47" s="1"/>
      <c r="AG47" s="1"/>
      <c r="AH47" s="1">
        <f t="shared" si="32"/>
        <v>0</v>
      </c>
      <c r="AI47" s="1"/>
      <c r="AJ47" s="1">
        <f t="shared" si="3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1">
        <v>19</v>
      </c>
      <c r="AV47" s="1"/>
      <c r="AW47" s="1"/>
      <c r="AX47" s="1"/>
      <c r="AY47" s="1"/>
      <c r="AZ47" s="1"/>
      <c r="BA47" s="1"/>
      <c r="BB47" s="1"/>
      <c r="BC47" s="1"/>
      <c r="BD47" s="1">
        <f t="shared" si="21"/>
        <v>0</v>
      </c>
      <c r="BE47" s="1"/>
      <c r="BF47" s="1">
        <f t="shared" si="22"/>
        <v>0</v>
      </c>
      <c r="BG47" s="1"/>
      <c r="BH47" s="1">
        <f t="shared" si="23"/>
        <v>0</v>
      </c>
      <c r="BI47" s="1"/>
      <c r="BJ47" s="1">
        <f t="shared" si="24"/>
        <v>0</v>
      </c>
      <c r="BK47" s="1"/>
      <c r="BL47" s="1">
        <f t="shared" si="25"/>
        <v>0</v>
      </c>
      <c r="BM47" s="1"/>
      <c r="BN47" s="1">
        <f t="shared" si="26"/>
        <v>0</v>
      </c>
      <c r="BO47" s="1"/>
      <c r="BP47" s="1">
        <f t="shared" si="27"/>
        <v>0</v>
      </c>
      <c r="BQ47" s="1"/>
      <c r="BR47" s="1">
        <f t="shared" si="28"/>
        <v>0</v>
      </c>
      <c r="BS47" s="1"/>
      <c r="BT47" s="1">
        <f t="shared" si="29"/>
        <v>0</v>
      </c>
      <c r="BU47" s="1"/>
      <c r="BV47" s="1">
        <f t="shared" si="14"/>
        <v>0</v>
      </c>
      <c r="BW47" s="1" t="e">
        <f t="shared" si="30"/>
        <v>#DIV/0!</v>
      </c>
      <c r="BX47" s="1" t="e">
        <f t="shared" si="31"/>
        <v>#DIV/0!</v>
      </c>
    </row>
    <row r="48" spans="1:76" ht="14.25" customHeight="1" thickBot="1">
      <c r="A48" s="13" t="s">
        <v>145</v>
      </c>
      <c r="B48" s="2">
        <v>58</v>
      </c>
      <c r="C48" s="2" t="s">
        <v>81</v>
      </c>
      <c r="D48" s="2"/>
      <c r="E48" s="2" t="s">
        <v>146</v>
      </c>
      <c r="F48" s="31">
        <v>39582</v>
      </c>
      <c r="G48" s="2" t="s">
        <v>144</v>
      </c>
      <c r="H48" s="2">
        <v>18</v>
      </c>
      <c r="I48" s="18">
        <v>67</v>
      </c>
      <c r="J48" s="18">
        <v>177.5</v>
      </c>
      <c r="K48" s="1"/>
      <c r="L48" s="6">
        <v>46202</v>
      </c>
      <c r="M48" s="6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8"/>
        <v>0</v>
      </c>
      <c r="Z48" s="1">
        <f t="shared" si="19"/>
        <v>0</v>
      </c>
      <c r="AA48" s="1" t="e">
        <f t="shared" si="20"/>
        <v>#DIV/0!</v>
      </c>
      <c r="AB48" s="1"/>
      <c r="AC48" s="1"/>
      <c r="AD48" s="1"/>
      <c r="AE48" s="1"/>
      <c r="AF48" s="1"/>
      <c r="AG48" s="1"/>
      <c r="AH48" s="1">
        <f t="shared" si="32"/>
        <v>0</v>
      </c>
      <c r="AI48" s="1"/>
      <c r="AJ48" s="1">
        <f t="shared" si="3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18">
        <v>18</v>
      </c>
      <c r="AV48" s="1"/>
      <c r="AW48" s="1"/>
      <c r="AX48" s="1"/>
      <c r="AY48" s="1"/>
      <c r="AZ48" s="1"/>
      <c r="BA48" s="1"/>
      <c r="BB48" s="1"/>
      <c r="BC48" s="1"/>
      <c r="BD48" s="1">
        <f t="shared" si="21"/>
        <v>0</v>
      </c>
      <c r="BE48" s="1"/>
      <c r="BF48" s="1">
        <f t="shared" si="22"/>
        <v>0</v>
      </c>
      <c r="BG48" s="1"/>
      <c r="BH48" s="1">
        <f t="shared" si="23"/>
        <v>0</v>
      </c>
      <c r="BI48" s="1"/>
      <c r="BJ48" s="1">
        <f t="shared" si="24"/>
        <v>0</v>
      </c>
      <c r="BK48" s="1"/>
      <c r="BL48" s="1">
        <f t="shared" si="25"/>
        <v>0</v>
      </c>
      <c r="BM48" s="1"/>
      <c r="BN48" s="1">
        <f t="shared" si="26"/>
        <v>0</v>
      </c>
      <c r="BO48" s="1"/>
      <c r="BP48" s="1">
        <f t="shared" si="27"/>
        <v>0</v>
      </c>
      <c r="BQ48" s="1"/>
      <c r="BR48" s="1">
        <f t="shared" si="28"/>
        <v>0</v>
      </c>
      <c r="BS48" s="1"/>
      <c r="BT48" s="1">
        <f t="shared" si="29"/>
        <v>0</v>
      </c>
      <c r="BU48" s="1"/>
      <c r="BV48" s="1">
        <f t="shared" si="14"/>
        <v>0</v>
      </c>
      <c r="BW48" s="1" t="e">
        <f t="shared" si="30"/>
        <v>#DIV/0!</v>
      </c>
      <c r="BX48" s="1" t="e">
        <f t="shared" si="31"/>
        <v>#DIV/0!</v>
      </c>
    </row>
    <row r="49" spans="1:76" ht="14.25" customHeight="1" thickBot="1">
      <c r="A49" s="14" t="s">
        <v>147</v>
      </c>
      <c r="B49" s="2">
        <v>65</v>
      </c>
      <c r="C49" s="2" t="s">
        <v>81</v>
      </c>
      <c r="D49" s="2"/>
      <c r="E49" s="2" t="s">
        <v>148</v>
      </c>
      <c r="F49" s="32">
        <v>38159</v>
      </c>
      <c r="G49" s="2" t="s">
        <v>144</v>
      </c>
      <c r="H49" s="2">
        <v>22</v>
      </c>
      <c r="I49" s="21">
        <v>71.900000000000006</v>
      </c>
      <c r="J49" s="21">
        <v>176</v>
      </c>
      <c r="K49" s="1"/>
      <c r="L49" s="6">
        <v>46199</v>
      </c>
      <c r="M49" s="6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8"/>
        <v>55.2</v>
      </c>
      <c r="Z49" s="1">
        <f t="shared" si="19"/>
        <v>51.8</v>
      </c>
      <c r="AA49" s="1">
        <f t="shared" si="20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32"/>
        <v>0</v>
      </c>
      <c r="AI49" s="1"/>
      <c r="AJ49" s="1">
        <f t="shared" si="3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1">
        <v>17</v>
      </c>
      <c r="AV49" s="1"/>
      <c r="AW49" s="1"/>
      <c r="AX49" s="1"/>
      <c r="AY49" s="1"/>
      <c r="AZ49" s="1"/>
      <c r="BA49" s="1"/>
      <c r="BB49" s="1"/>
      <c r="BC49" s="2">
        <v>214</v>
      </c>
      <c r="BD49" s="1">
        <f t="shared" si="21"/>
        <v>2.976356050069541</v>
      </c>
      <c r="BE49" s="2">
        <v>207</v>
      </c>
      <c r="BF49" s="1">
        <f t="shared" si="22"/>
        <v>2.8789986091794155</v>
      </c>
      <c r="BG49" s="2">
        <v>153</v>
      </c>
      <c r="BH49" s="1">
        <f t="shared" si="23"/>
        <v>2.127955493741307</v>
      </c>
      <c r="BI49" s="2">
        <v>127</v>
      </c>
      <c r="BJ49" s="1">
        <f t="shared" si="24"/>
        <v>1.7663421418636995</v>
      </c>
      <c r="BK49" s="2">
        <v>116</v>
      </c>
      <c r="BL49" s="1">
        <f t="shared" si="25"/>
        <v>1.6133518776077884</v>
      </c>
      <c r="BM49" s="2">
        <v>135</v>
      </c>
      <c r="BN49" s="1">
        <f t="shared" si="26"/>
        <v>1.8776077885952711</v>
      </c>
      <c r="BO49" s="2">
        <v>96</v>
      </c>
      <c r="BP49" s="1">
        <f t="shared" si="27"/>
        <v>1.3351877607788594</v>
      </c>
      <c r="BQ49" s="2">
        <v>104</v>
      </c>
      <c r="BR49" s="1">
        <f t="shared" si="28"/>
        <v>1.4464534075104309</v>
      </c>
      <c r="BS49" s="2">
        <v>118</v>
      </c>
      <c r="BT49" s="1">
        <f t="shared" si="29"/>
        <v>1.6411682892906814</v>
      </c>
      <c r="BU49" s="2">
        <v>119</v>
      </c>
      <c r="BV49" s="1">
        <f t="shared" si="14"/>
        <v>1.6550764951321277</v>
      </c>
      <c r="BW49" s="1">
        <f t="shared" si="30"/>
        <v>0.77124183006535951</v>
      </c>
      <c r="BX49" s="1">
        <f t="shared" si="31"/>
        <v>0.93700787401574803</v>
      </c>
    </row>
    <row r="50" spans="1:76" ht="14.25" customHeight="1" thickBot="1">
      <c r="A50" s="13" t="s">
        <v>149</v>
      </c>
      <c r="B50" s="2">
        <v>57</v>
      </c>
      <c r="C50" s="2" t="s">
        <v>76</v>
      </c>
      <c r="D50" s="2"/>
      <c r="E50" s="2" t="s">
        <v>137</v>
      </c>
      <c r="F50" s="31">
        <v>39636</v>
      </c>
      <c r="G50" s="2" t="s">
        <v>144</v>
      </c>
      <c r="H50" s="2">
        <v>18</v>
      </c>
      <c r="I50" s="18">
        <v>71</v>
      </c>
      <c r="J50" s="18">
        <v>175</v>
      </c>
      <c r="K50" s="1"/>
      <c r="L50" s="6">
        <v>46202</v>
      </c>
      <c r="M50" s="6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8"/>
        <v>0</v>
      </c>
      <c r="Z50" s="1">
        <f t="shared" si="19"/>
        <v>0</v>
      </c>
      <c r="AA50" s="1" t="e">
        <f t="shared" si="20"/>
        <v>#DIV/0!</v>
      </c>
      <c r="AB50" s="1"/>
      <c r="AC50" s="1"/>
      <c r="AD50" s="1"/>
      <c r="AE50" s="1"/>
      <c r="AF50" s="1"/>
      <c r="AG50" s="1"/>
      <c r="AH50" s="1">
        <f t="shared" si="32"/>
        <v>0</v>
      </c>
      <c r="AI50" s="1"/>
      <c r="AJ50" s="1">
        <f t="shared" si="3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18">
        <v>18</v>
      </c>
      <c r="AV50" s="1"/>
      <c r="AW50" s="1"/>
      <c r="AX50" s="1"/>
      <c r="AY50" s="1"/>
      <c r="AZ50" s="1"/>
      <c r="BA50" s="1"/>
      <c r="BB50" s="1"/>
      <c r="BC50" s="1"/>
      <c r="BD50" s="1">
        <f t="shared" si="21"/>
        <v>0</v>
      </c>
      <c r="BE50" s="1"/>
      <c r="BF50" s="1">
        <f t="shared" si="22"/>
        <v>0</v>
      </c>
      <c r="BG50" s="1"/>
      <c r="BH50" s="1">
        <f t="shared" si="23"/>
        <v>0</v>
      </c>
      <c r="BI50" s="1"/>
      <c r="BJ50" s="1">
        <f t="shared" si="24"/>
        <v>0</v>
      </c>
      <c r="BK50" s="1"/>
      <c r="BL50" s="1">
        <f t="shared" si="25"/>
        <v>0</v>
      </c>
      <c r="BM50" s="1"/>
      <c r="BN50" s="1">
        <f t="shared" si="26"/>
        <v>0</v>
      </c>
      <c r="BO50" s="1"/>
      <c r="BP50" s="1">
        <f t="shared" si="27"/>
        <v>0</v>
      </c>
      <c r="BQ50" s="1"/>
      <c r="BR50" s="1">
        <f t="shared" si="28"/>
        <v>0</v>
      </c>
      <c r="BS50" s="1"/>
      <c r="BT50" s="1">
        <f t="shared" si="29"/>
        <v>0</v>
      </c>
      <c r="BU50" s="1"/>
      <c r="BV50" s="1">
        <f t="shared" si="14"/>
        <v>0</v>
      </c>
      <c r="BW50" s="1" t="e">
        <f t="shared" si="30"/>
        <v>#DIV/0!</v>
      </c>
      <c r="BX50" s="1" t="e">
        <f t="shared" si="31"/>
        <v>#DIV/0!</v>
      </c>
    </row>
    <row r="51" spans="1:76" ht="14.25" customHeight="1" thickBot="1">
      <c r="A51" s="14" t="s">
        <v>150</v>
      </c>
      <c r="B51" s="2"/>
      <c r="C51" s="2"/>
      <c r="D51" s="2"/>
      <c r="E51" s="2"/>
      <c r="F51" s="32">
        <v>40213</v>
      </c>
      <c r="G51" s="2" t="s">
        <v>144</v>
      </c>
      <c r="H51" s="1"/>
      <c r="I51" s="21">
        <v>74.5</v>
      </c>
      <c r="J51" s="21">
        <v>184</v>
      </c>
      <c r="K51" s="1"/>
      <c r="L51" s="1"/>
      <c r="M51" s="6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8"/>
        <v>62</v>
      </c>
      <c r="Z51" s="1">
        <f t="shared" si="19"/>
        <v>32.200000000000003</v>
      </c>
      <c r="AA51" s="1">
        <f t="shared" si="20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32"/>
        <v>0</v>
      </c>
      <c r="AI51" s="1"/>
      <c r="AJ51" s="1">
        <f t="shared" si="3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1">
        <v>17.5</v>
      </c>
      <c r="AV51" s="1"/>
      <c r="AW51" s="1"/>
      <c r="AX51" s="1"/>
      <c r="AY51" s="1"/>
      <c r="AZ51" s="1"/>
      <c r="BA51" s="1"/>
      <c r="BB51" s="1"/>
      <c r="BC51" s="2">
        <v>232</v>
      </c>
      <c r="BD51" s="1">
        <f t="shared" si="21"/>
        <v>3.1140939597315436</v>
      </c>
      <c r="BE51" s="2">
        <v>279</v>
      </c>
      <c r="BF51" s="1">
        <f t="shared" si="22"/>
        <v>3.7449664429530203</v>
      </c>
      <c r="BG51" s="2">
        <v>131</v>
      </c>
      <c r="BH51" s="1">
        <f t="shared" si="23"/>
        <v>1.7583892617449663</v>
      </c>
      <c r="BI51" s="2">
        <v>171</v>
      </c>
      <c r="BJ51" s="1">
        <f t="shared" si="24"/>
        <v>2.2953020134228188</v>
      </c>
      <c r="BK51" s="2">
        <v>142</v>
      </c>
      <c r="BL51" s="1">
        <f t="shared" si="25"/>
        <v>1.9060402684563758</v>
      </c>
      <c r="BM51" s="2">
        <v>122</v>
      </c>
      <c r="BN51" s="1">
        <f t="shared" si="26"/>
        <v>1.6375838926174497</v>
      </c>
      <c r="BO51" s="2">
        <v>154</v>
      </c>
      <c r="BP51" s="1">
        <f t="shared" si="27"/>
        <v>2.0671140939597317</v>
      </c>
      <c r="BQ51" s="2">
        <v>132</v>
      </c>
      <c r="BR51" s="1">
        <f t="shared" si="28"/>
        <v>1.7718120805369129</v>
      </c>
      <c r="BS51" s="2">
        <v>168</v>
      </c>
      <c r="BT51" s="1">
        <f t="shared" si="29"/>
        <v>2.2550335570469797</v>
      </c>
      <c r="BU51" s="2">
        <v>174</v>
      </c>
      <c r="BV51" s="1">
        <f t="shared" si="14"/>
        <v>2.3355704697986579</v>
      </c>
      <c r="BW51" s="1">
        <f t="shared" si="30"/>
        <v>1.282442748091603</v>
      </c>
      <c r="BX51" s="1">
        <f t="shared" si="31"/>
        <v>1.0175438596491229</v>
      </c>
    </row>
    <row r="52" spans="1:76" ht="14.25" customHeight="1" thickBot="1">
      <c r="A52" s="13" t="s">
        <v>151</v>
      </c>
      <c r="B52" s="2">
        <v>52</v>
      </c>
      <c r="C52" s="2" t="s">
        <v>81</v>
      </c>
      <c r="D52" s="2"/>
      <c r="E52" s="2" t="s">
        <v>137</v>
      </c>
      <c r="F52" s="31">
        <v>39825</v>
      </c>
      <c r="G52" s="2" t="s">
        <v>144</v>
      </c>
      <c r="H52" s="2">
        <v>17</v>
      </c>
      <c r="I52" s="18">
        <v>80.8</v>
      </c>
      <c r="J52" s="18">
        <v>188</v>
      </c>
      <c r="K52" s="1"/>
      <c r="L52" s="6">
        <v>46202</v>
      </c>
      <c r="M52" s="6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8"/>
        <v>0</v>
      </c>
      <c r="Z52" s="1">
        <f t="shared" si="19"/>
        <v>0</v>
      </c>
      <c r="AA52" s="1" t="e">
        <f t="shared" si="20"/>
        <v>#DIV/0!</v>
      </c>
      <c r="AB52" s="1"/>
      <c r="AC52" s="1"/>
      <c r="AD52" s="1"/>
      <c r="AE52" s="1"/>
      <c r="AF52" s="1"/>
      <c r="AG52" s="1"/>
      <c r="AH52" s="1">
        <f t="shared" si="32"/>
        <v>0</v>
      </c>
      <c r="AI52" s="1"/>
      <c r="AJ52" s="1">
        <f t="shared" si="3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18">
        <v>16.5</v>
      </c>
      <c r="AV52" s="1"/>
      <c r="AW52" s="1"/>
      <c r="AX52" s="1"/>
      <c r="AY52" s="1"/>
      <c r="AZ52" s="1"/>
      <c r="BA52" s="1"/>
      <c r="BB52" s="1"/>
      <c r="BC52" s="1"/>
      <c r="BD52" s="1">
        <f t="shared" si="21"/>
        <v>0</v>
      </c>
      <c r="BE52" s="1"/>
      <c r="BF52" s="1">
        <f t="shared" si="22"/>
        <v>0</v>
      </c>
      <c r="BG52" s="1"/>
      <c r="BH52" s="1">
        <f t="shared" si="23"/>
        <v>0</v>
      </c>
      <c r="BI52" s="1"/>
      <c r="BJ52" s="1">
        <f t="shared" si="24"/>
        <v>0</v>
      </c>
      <c r="BK52" s="1"/>
      <c r="BL52" s="1">
        <f t="shared" si="25"/>
        <v>0</v>
      </c>
      <c r="BM52" s="1"/>
      <c r="BN52" s="1">
        <f t="shared" si="26"/>
        <v>0</v>
      </c>
      <c r="BO52" s="1"/>
      <c r="BP52" s="1">
        <f t="shared" si="27"/>
        <v>0</v>
      </c>
      <c r="BQ52" s="1"/>
      <c r="BR52" s="1">
        <f t="shared" si="28"/>
        <v>0</v>
      </c>
      <c r="BS52" s="1"/>
      <c r="BT52" s="1">
        <f t="shared" si="29"/>
        <v>0</v>
      </c>
      <c r="BU52" s="1"/>
      <c r="BV52" s="1">
        <f t="shared" si="14"/>
        <v>0</v>
      </c>
      <c r="BW52" s="1" t="e">
        <f t="shared" si="30"/>
        <v>#DIV/0!</v>
      </c>
      <c r="BX52" s="1" t="e">
        <f t="shared" si="31"/>
        <v>#DIV/0!</v>
      </c>
    </row>
    <row r="53" spans="1:76" ht="14.25" customHeight="1" thickBot="1">
      <c r="A53" s="13" t="s">
        <v>152</v>
      </c>
      <c r="B53" s="2">
        <v>53</v>
      </c>
      <c r="C53" s="2" t="s">
        <v>81</v>
      </c>
      <c r="D53" s="2"/>
      <c r="E53" s="2" t="s">
        <v>146</v>
      </c>
      <c r="F53" s="32">
        <v>39773</v>
      </c>
      <c r="G53" s="2" t="s">
        <v>144</v>
      </c>
      <c r="H53" s="2">
        <v>17</v>
      </c>
      <c r="I53" s="21">
        <v>67.099999999999994</v>
      </c>
      <c r="J53" s="21">
        <v>183</v>
      </c>
      <c r="K53" s="1"/>
      <c r="L53" s="1"/>
      <c r="M53" s="6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8"/>
        <v>0</v>
      </c>
      <c r="Z53" s="1">
        <f t="shared" si="19"/>
        <v>0</v>
      </c>
      <c r="AA53" s="1" t="e">
        <f t="shared" si="20"/>
        <v>#DIV/0!</v>
      </c>
      <c r="AB53" s="1"/>
      <c r="AC53" s="1"/>
      <c r="AD53" s="1"/>
      <c r="AE53" s="1"/>
      <c r="AF53" s="1"/>
      <c r="AG53" s="1"/>
      <c r="AH53" s="1">
        <f t="shared" si="32"/>
        <v>0</v>
      </c>
      <c r="AI53" s="1"/>
      <c r="AJ53" s="1">
        <f t="shared" si="3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1">
        <v>17</v>
      </c>
      <c r="AV53" s="1"/>
      <c r="AW53" s="1"/>
      <c r="AX53" s="1"/>
      <c r="AY53" s="1"/>
      <c r="AZ53" s="1"/>
      <c r="BA53" s="1"/>
      <c r="BB53" s="1"/>
      <c r="BC53" s="1"/>
      <c r="BD53" s="1">
        <f t="shared" si="21"/>
        <v>0</v>
      </c>
      <c r="BE53" s="1"/>
      <c r="BF53" s="1">
        <f t="shared" si="22"/>
        <v>0</v>
      </c>
      <c r="BG53" s="1"/>
      <c r="BH53" s="1">
        <f t="shared" si="23"/>
        <v>0</v>
      </c>
      <c r="BI53" s="1"/>
      <c r="BJ53" s="1">
        <f t="shared" si="24"/>
        <v>0</v>
      </c>
      <c r="BK53" s="1"/>
      <c r="BL53" s="1">
        <f t="shared" si="25"/>
        <v>0</v>
      </c>
      <c r="BM53" s="1"/>
      <c r="BN53" s="1">
        <f t="shared" si="26"/>
        <v>0</v>
      </c>
      <c r="BO53" s="1"/>
      <c r="BP53" s="1">
        <f t="shared" si="27"/>
        <v>0</v>
      </c>
      <c r="BQ53" s="1"/>
      <c r="BR53" s="1">
        <f t="shared" si="28"/>
        <v>0</v>
      </c>
      <c r="BS53" s="1"/>
      <c r="BT53" s="1">
        <f t="shared" si="29"/>
        <v>0</v>
      </c>
      <c r="BU53" s="1"/>
      <c r="BV53" s="1">
        <f t="shared" si="14"/>
        <v>0</v>
      </c>
      <c r="BW53" s="1" t="e">
        <f t="shared" si="30"/>
        <v>#DIV/0!</v>
      </c>
      <c r="BX53" s="1" t="e">
        <f t="shared" si="31"/>
        <v>#DIV/0!</v>
      </c>
    </row>
    <row r="54" spans="1:76" ht="14.25" customHeight="1" thickBot="1">
      <c r="A54" s="13" t="s">
        <v>153</v>
      </c>
      <c r="B54" s="2">
        <v>55</v>
      </c>
      <c r="C54" s="2" t="s">
        <v>81</v>
      </c>
      <c r="D54" s="2"/>
      <c r="E54" s="2" t="s">
        <v>146</v>
      </c>
      <c r="F54" s="31">
        <v>40849</v>
      </c>
      <c r="G54" s="2" t="s">
        <v>144</v>
      </c>
      <c r="H54" s="2">
        <v>14</v>
      </c>
      <c r="I54" s="18"/>
      <c r="J54" s="27"/>
      <c r="K54" s="1"/>
      <c r="L54" s="1"/>
      <c r="M54" s="6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8"/>
        <v>0</v>
      </c>
      <c r="Z54" s="1">
        <f t="shared" si="19"/>
        <v>0</v>
      </c>
      <c r="AA54" s="1" t="e">
        <f t="shared" si="20"/>
        <v>#DIV/0!</v>
      </c>
      <c r="AB54" s="1"/>
      <c r="AC54" s="1"/>
      <c r="AD54" s="1"/>
      <c r="AE54" s="1"/>
      <c r="AF54" s="1"/>
      <c r="AG54" s="1"/>
      <c r="AH54" s="1" t="e">
        <f t="shared" si="32"/>
        <v>#DIV/0!</v>
      </c>
      <c r="AI54" s="1"/>
      <c r="AJ54" s="1" t="e">
        <f t="shared" si="33"/>
        <v>#DIV/0!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0"/>
      <c r="AV54" s="1"/>
      <c r="AW54" s="1"/>
      <c r="AX54" s="1"/>
      <c r="AY54" s="1"/>
      <c r="AZ54" s="1"/>
      <c r="BA54" s="1"/>
      <c r="BB54" s="1"/>
      <c r="BC54" s="1"/>
      <c r="BD54" s="1" t="e">
        <f t="shared" si="21"/>
        <v>#DIV/0!</v>
      </c>
      <c r="BE54" s="1"/>
      <c r="BF54" s="1" t="e">
        <f t="shared" si="22"/>
        <v>#DIV/0!</v>
      </c>
      <c r="BG54" s="1"/>
      <c r="BH54" s="1" t="e">
        <f t="shared" si="23"/>
        <v>#DIV/0!</v>
      </c>
      <c r="BI54" s="1"/>
      <c r="BJ54" s="1" t="e">
        <f t="shared" si="24"/>
        <v>#DIV/0!</v>
      </c>
      <c r="BK54" s="1"/>
      <c r="BL54" s="1" t="e">
        <f t="shared" si="25"/>
        <v>#DIV/0!</v>
      </c>
      <c r="BM54" s="1"/>
      <c r="BN54" s="1" t="e">
        <f t="shared" si="26"/>
        <v>#DIV/0!</v>
      </c>
      <c r="BO54" s="1"/>
      <c r="BP54" s="1" t="e">
        <f t="shared" si="27"/>
        <v>#DIV/0!</v>
      </c>
      <c r="BQ54" s="1"/>
      <c r="BR54" s="1" t="e">
        <f t="shared" si="28"/>
        <v>#DIV/0!</v>
      </c>
      <c r="BS54" s="1"/>
      <c r="BT54" s="1" t="e">
        <f t="shared" si="29"/>
        <v>#DIV/0!</v>
      </c>
      <c r="BU54" s="1"/>
      <c r="BV54" s="1" t="e">
        <f t="shared" si="14"/>
        <v>#DIV/0!</v>
      </c>
      <c r="BW54" s="1" t="e">
        <f t="shared" si="30"/>
        <v>#DIV/0!</v>
      </c>
      <c r="BX54" s="1" t="e">
        <f t="shared" si="31"/>
        <v>#DIV/0!</v>
      </c>
    </row>
    <row r="55" spans="1:76" ht="14.25" customHeight="1" thickBot="1">
      <c r="A55" s="13" t="s">
        <v>154</v>
      </c>
      <c r="B55" s="2">
        <v>70</v>
      </c>
      <c r="C55" s="2" t="s">
        <v>81</v>
      </c>
      <c r="D55" s="2"/>
      <c r="E55" s="2" t="s">
        <v>100</v>
      </c>
      <c r="F55" s="32">
        <v>38239</v>
      </c>
      <c r="G55" s="2" t="s">
        <v>144</v>
      </c>
      <c r="H55" s="2">
        <v>21</v>
      </c>
      <c r="I55" s="21">
        <v>85.4</v>
      </c>
      <c r="J55" s="21">
        <v>187</v>
      </c>
      <c r="K55" s="1"/>
      <c r="L55" s="1"/>
      <c r="M55" s="6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8"/>
        <v>59.1</v>
      </c>
      <c r="Z55" s="1">
        <f t="shared" si="19"/>
        <v>65.5</v>
      </c>
      <c r="AA55" s="1">
        <f t="shared" si="20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32"/>
        <v>0</v>
      </c>
      <c r="AI55" s="1"/>
      <c r="AJ55" s="1">
        <f t="shared" si="3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1">
        <v>15.5</v>
      </c>
      <c r="AV55" s="1"/>
      <c r="AW55" s="1"/>
      <c r="AX55" s="1"/>
      <c r="AY55" s="1"/>
      <c r="AZ55" s="1"/>
      <c r="BA55" s="1"/>
      <c r="BB55" s="1"/>
      <c r="BC55" s="2">
        <v>333</v>
      </c>
      <c r="BD55" s="1">
        <f t="shared" si="21"/>
        <v>3.8992974238875875</v>
      </c>
      <c r="BE55" s="2">
        <v>312</v>
      </c>
      <c r="BF55" s="1">
        <f t="shared" si="22"/>
        <v>3.6533957845433251</v>
      </c>
      <c r="BG55" s="2">
        <v>219</v>
      </c>
      <c r="BH55" s="1">
        <f t="shared" si="23"/>
        <v>2.5644028103044496</v>
      </c>
      <c r="BI55" s="2">
        <v>204</v>
      </c>
      <c r="BJ55" s="1">
        <f t="shared" si="24"/>
        <v>2.3887587822014051</v>
      </c>
      <c r="BK55" s="2">
        <v>165</v>
      </c>
      <c r="BL55" s="1">
        <f t="shared" si="25"/>
        <v>1.9320843091334894</v>
      </c>
      <c r="BM55" s="2">
        <v>169</v>
      </c>
      <c r="BN55" s="1">
        <f t="shared" si="26"/>
        <v>1.9789227166276346</v>
      </c>
      <c r="BO55" s="2">
        <v>164</v>
      </c>
      <c r="BP55" s="1">
        <f t="shared" si="27"/>
        <v>1.9203747072599531</v>
      </c>
      <c r="BQ55" s="2">
        <v>155</v>
      </c>
      <c r="BR55" s="1">
        <f t="shared" si="28"/>
        <v>1.8149882903981263</v>
      </c>
      <c r="BS55" s="2">
        <v>224</v>
      </c>
      <c r="BT55" s="1">
        <f t="shared" si="29"/>
        <v>2.622950819672131</v>
      </c>
      <c r="BU55" s="2">
        <v>212</v>
      </c>
      <c r="BV55" s="1">
        <f t="shared" si="14"/>
        <v>2.4824355971896952</v>
      </c>
      <c r="BW55" s="1">
        <f t="shared" si="30"/>
        <v>1.0228310502283104</v>
      </c>
      <c r="BX55" s="1">
        <f t="shared" si="31"/>
        <v>1.0392156862745099</v>
      </c>
    </row>
    <row r="56" spans="1:76" ht="14.25" customHeight="1" thickBot="1">
      <c r="A56" s="13" t="s">
        <v>155</v>
      </c>
      <c r="B56" s="2"/>
      <c r="C56" s="2"/>
      <c r="D56" s="2"/>
      <c r="E56" s="2"/>
      <c r="F56" s="27"/>
      <c r="G56" s="2" t="s">
        <v>144</v>
      </c>
      <c r="H56" s="1"/>
      <c r="I56" s="18">
        <v>72.5</v>
      </c>
      <c r="J56" s="27"/>
      <c r="K56" s="1"/>
      <c r="L56" s="1"/>
      <c r="M56" s="6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8"/>
        <v>0</v>
      </c>
      <c r="Z56" s="1">
        <f t="shared" si="19"/>
        <v>0</v>
      </c>
      <c r="AA56" s="1" t="e">
        <f t="shared" si="20"/>
        <v>#DIV/0!</v>
      </c>
      <c r="AB56" s="1"/>
      <c r="AC56" s="1"/>
      <c r="AD56" s="1"/>
      <c r="AE56" s="1"/>
      <c r="AF56" s="1"/>
      <c r="AG56" s="1"/>
      <c r="AH56" s="1">
        <f t="shared" si="32"/>
        <v>0</v>
      </c>
      <c r="AI56" s="1"/>
      <c r="AJ56" s="1">
        <f t="shared" si="3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0"/>
      <c r="AV56" s="1"/>
      <c r="AW56" s="1"/>
      <c r="AX56" s="1"/>
      <c r="AY56" s="1"/>
      <c r="AZ56" s="1"/>
      <c r="BA56" s="1"/>
      <c r="BB56" s="1"/>
      <c r="BC56" s="1"/>
      <c r="BD56" s="1">
        <f t="shared" si="21"/>
        <v>0</v>
      </c>
      <c r="BE56" s="1"/>
      <c r="BF56" s="1">
        <f t="shared" si="22"/>
        <v>0</v>
      </c>
      <c r="BG56" s="1"/>
      <c r="BH56" s="1">
        <f t="shared" si="23"/>
        <v>0</v>
      </c>
      <c r="BI56" s="1"/>
      <c r="BJ56" s="1">
        <f t="shared" si="24"/>
        <v>0</v>
      </c>
      <c r="BK56" s="1"/>
      <c r="BL56" s="1">
        <f t="shared" si="25"/>
        <v>0</v>
      </c>
      <c r="BM56" s="1"/>
      <c r="BN56" s="1">
        <f t="shared" si="26"/>
        <v>0</v>
      </c>
      <c r="BO56" s="1"/>
      <c r="BP56" s="1">
        <f t="shared" si="27"/>
        <v>0</v>
      </c>
      <c r="BQ56" s="1"/>
      <c r="BR56" s="1">
        <f t="shared" si="28"/>
        <v>0</v>
      </c>
      <c r="BS56" s="1"/>
      <c r="BT56" s="1">
        <f t="shared" si="29"/>
        <v>0</v>
      </c>
      <c r="BU56" s="1"/>
      <c r="BV56" s="1">
        <f t="shared" si="14"/>
        <v>0</v>
      </c>
      <c r="BW56" s="1" t="e">
        <f t="shared" si="30"/>
        <v>#DIV/0!</v>
      </c>
      <c r="BX56" s="1" t="e">
        <f t="shared" si="31"/>
        <v>#DIV/0!</v>
      </c>
    </row>
    <row r="57" spans="1:76" ht="14.25" customHeight="1" thickBot="1">
      <c r="A57" s="13" t="s">
        <v>156</v>
      </c>
      <c r="B57" s="2">
        <v>54</v>
      </c>
      <c r="C57" s="2" t="s">
        <v>81</v>
      </c>
      <c r="D57" s="2"/>
      <c r="E57" s="2" t="s">
        <v>146</v>
      </c>
      <c r="F57" s="32">
        <v>39825</v>
      </c>
      <c r="G57" s="2" t="s">
        <v>144</v>
      </c>
      <c r="H57" s="2">
        <v>17</v>
      </c>
      <c r="I57" s="21">
        <v>68.599999999999994</v>
      </c>
      <c r="J57" s="21">
        <v>178</v>
      </c>
      <c r="K57" s="1"/>
      <c r="L57" s="1"/>
      <c r="M57" s="6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8"/>
        <v>0</v>
      </c>
      <c r="Z57" s="1">
        <f t="shared" si="19"/>
        <v>0</v>
      </c>
      <c r="AA57" s="1" t="e">
        <f t="shared" si="20"/>
        <v>#DIV/0!</v>
      </c>
      <c r="AB57" s="1"/>
      <c r="AC57" s="1"/>
      <c r="AD57" s="1"/>
      <c r="AE57" s="1"/>
      <c r="AF57" s="1"/>
      <c r="AG57" s="1"/>
      <c r="AH57" s="1">
        <f t="shared" si="32"/>
        <v>0</v>
      </c>
      <c r="AI57" s="1"/>
      <c r="AJ57" s="1">
        <f t="shared" si="3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1">
        <v>18</v>
      </c>
      <c r="AV57" s="1"/>
      <c r="AW57" s="1"/>
      <c r="AX57" s="1"/>
      <c r="AY57" s="1"/>
      <c r="AZ57" s="1"/>
      <c r="BA57" s="1"/>
      <c r="BB57" s="1"/>
      <c r="BC57" s="1"/>
      <c r="BD57" s="1">
        <f t="shared" si="21"/>
        <v>0</v>
      </c>
      <c r="BE57" s="1"/>
      <c r="BF57" s="1">
        <f t="shared" si="22"/>
        <v>0</v>
      </c>
      <c r="BG57" s="1"/>
      <c r="BH57" s="1">
        <f t="shared" si="23"/>
        <v>0</v>
      </c>
      <c r="BI57" s="1"/>
      <c r="BJ57" s="1">
        <f t="shared" si="24"/>
        <v>0</v>
      </c>
      <c r="BK57" s="1"/>
      <c r="BL57" s="1">
        <f t="shared" si="25"/>
        <v>0</v>
      </c>
      <c r="BM57" s="1"/>
      <c r="BN57" s="1">
        <f t="shared" si="26"/>
        <v>0</v>
      </c>
      <c r="BO57" s="1"/>
      <c r="BP57" s="1">
        <f t="shared" si="27"/>
        <v>0</v>
      </c>
      <c r="BQ57" s="1"/>
      <c r="BR57" s="1">
        <f t="shared" si="28"/>
        <v>0</v>
      </c>
      <c r="BS57" s="1"/>
      <c r="BT57" s="1">
        <f t="shared" si="29"/>
        <v>0</v>
      </c>
      <c r="BU57" s="1"/>
      <c r="BV57" s="1">
        <f t="shared" si="14"/>
        <v>0</v>
      </c>
      <c r="BW57" s="1" t="e">
        <f t="shared" si="30"/>
        <v>#DIV/0!</v>
      </c>
      <c r="BX57" s="1" t="e">
        <f t="shared" si="31"/>
        <v>#DIV/0!</v>
      </c>
    </row>
    <row r="58" spans="1:76" ht="14.25" customHeight="1" thickBot="1">
      <c r="A58" s="13" t="s">
        <v>157</v>
      </c>
      <c r="B58" s="2">
        <v>43</v>
      </c>
      <c r="C58" s="2" t="s">
        <v>81</v>
      </c>
      <c r="D58" s="2"/>
      <c r="E58" s="2" t="s">
        <v>103</v>
      </c>
      <c r="F58" s="31">
        <v>68865</v>
      </c>
      <c r="G58" s="2" t="s">
        <v>144</v>
      </c>
      <c r="H58" s="2">
        <v>18</v>
      </c>
      <c r="I58" s="18">
        <v>86.4</v>
      </c>
      <c r="J58" s="18">
        <v>188.5</v>
      </c>
      <c r="K58" s="1"/>
      <c r="L58" s="1"/>
      <c r="M58" s="6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8"/>
        <v>0</v>
      </c>
      <c r="Z58" s="1">
        <f t="shared" si="19"/>
        <v>0</v>
      </c>
      <c r="AA58" s="1" t="e">
        <f t="shared" si="20"/>
        <v>#DIV/0!</v>
      </c>
      <c r="AB58" s="1"/>
      <c r="AC58" s="1"/>
      <c r="AD58" s="1"/>
      <c r="AE58" s="1"/>
      <c r="AF58" s="1"/>
      <c r="AG58" s="1"/>
      <c r="AH58" s="1">
        <f t="shared" si="32"/>
        <v>0</v>
      </c>
      <c r="AI58" s="1"/>
      <c r="AJ58" s="1">
        <f t="shared" si="3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18">
        <v>15</v>
      </c>
      <c r="AV58" s="1"/>
      <c r="AW58" s="1"/>
      <c r="AX58" s="1"/>
      <c r="AY58" s="1"/>
      <c r="AZ58" s="1"/>
      <c r="BA58" s="1"/>
      <c r="BB58" s="1"/>
      <c r="BC58" s="1"/>
      <c r="BD58" s="1">
        <f t="shared" si="21"/>
        <v>0</v>
      </c>
      <c r="BE58" s="1"/>
      <c r="BF58" s="1">
        <f t="shared" si="22"/>
        <v>0</v>
      </c>
      <c r="BG58" s="1"/>
      <c r="BH58" s="1">
        <f t="shared" si="23"/>
        <v>0</v>
      </c>
      <c r="BI58" s="1"/>
      <c r="BJ58" s="1">
        <f t="shared" si="24"/>
        <v>0</v>
      </c>
      <c r="BK58" s="1"/>
      <c r="BL58" s="1">
        <f t="shared" si="25"/>
        <v>0</v>
      </c>
      <c r="BM58" s="1"/>
      <c r="BN58" s="1">
        <f t="shared" si="26"/>
        <v>0</v>
      </c>
      <c r="BO58" s="1"/>
      <c r="BP58" s="1">
        <f t="shared" si="27"/>
        <v>0</v>
      </c>
      <c r="BQ58" s="1"/>
      <c r="BR58" s="1">
        <f t="shared" si="28"/>
        <v>0</v>
      </c>
      <c r="BS58" s="1"/>
      <c r="BT58" s="1">
        <f t="shared" si="29"/>
        <v>0</v>
      </c>
      <c r="BU58" s="1"/>
      <c r="BV58" s="1">
        <f t="shared" si="14"/>
        <v>0</v>
      </c>
      <c r="BW58" s="1" t="e">
        <f t="shared" si="30"/>
        <v>#DIV/0!</v>
      </c>
      <c r="BX58" s="1" t="e">
        <f t="shared" si="31"/>
        <v>#DIV/0!</v>
      </c>
    </row>
    <row r="59" spans="1:76" ht="14.25" customHeight="1" thickBot="1">
      <c r="A59" s="13" t="s">
        <v>158</v>
      </c>
      <c r="B59" s="2">
        <v>41</v>
      </c>
      <c r="C59" s="2" t="s">
        <v>76</v>
      </c>
      <c r="D59" s="2"/>
      <c r="E59" s="2" t="s">
        <v>148</v>
      </c>
      <c r="F59" s="32">
        <v>39660</v>
      </c>
      <c r="G59" s="2" t="s">
        <v>144</v>
      </c>
      <c r="H59" s="2">
        <v>18</v>
      </c>
      <c r="I59" s="21">
        <v>69.400000000000006</v>
      </c>
      <c r="J59" s="21">
        <v>176</v>
      </c>
      <c r="K59" s="1"/>
      <c r="L59" s="1"/>
      <c r="M59" s="6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8"/>
        <v>0</v>
      </c>
      <c r="Z59" s="1">
        <f t="shared" si="19"/>
        <v>0</v>
      </c>
      <c r="AA59" s="1" t="e">
        <f t="shared" si="20"/>
        <v>#DIV/0!</v>
      </c>
      <c r="AB59" s="1"/>
      <c r="AC59" s="1"/>
      <c r="AD59" s="1"/>
      <c r="AE59" s="1"/>
      <c r="AF59" s="1"/>
      <c r="AG59" s="1"/>
      <c r="AH59" s="1">
        <f t="shared" si="32"/>
        <v>0</v>
      </c>
      <c r="AI59" s="1"/>
      <c r="AJ59" s="1">
        <f t="shared" si="3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1">
        <v>18</v>
      </c>
      <c r="AV59" s="1"/>
      <c r="AW59" s="1"/>
      <c r="AX59" s="1"/>
      <c r="AY59" s="1"/>
      <c r="AZ59" s="1"/>
      <c r="BA59" s="1"/>
      <c r="BB59" s="1"/>
      <c r="BC59" s="1"/>
      <c r="BD59" s="1">
        <f t="shared" si="21"/>
        <v>0</v>
      </c>
      <c r="BE59" s="1"/>
      <c r="BF59" s="1">
        <f t="shared" si="22"/>
        <v>0</v>
      </c>
      <c r="BG59" s="1"/>
      <c r="BH59" s="1">
        <f t="shared" si="23"/>
        <v>0</v>
      </c>
      <c r="BI59" s="1"/>
      <c r="BJ59" s="1">
        <f t="shared" si="24"/>
        <v>0</v>
      </c>
      <c r="BK59" s="1"/>
      <c r="BL59" s="1">
        <f t="shared" si="25"/>
        <v>0</v>
      </c>
      <c r="BM59" s="1"/>
      <c r="BN59" s="1">
        <f t="shared" si="26"/>
        <v>0</v>
      </c>
      <c r="BO59" s="1"/>
      <c r="BP59" s="1">
        <f t="shared" si="27"/>
        <v>0</v>
      </c>
      <c r="BQ59" s="1"/>
      <c r="BR59" s="1">
        <f t="shared" si="28"/>
        <v>0</v>
      </c>
      <c r="BS59" s="1"/>
      <c r="BT59" s="1">
        <f t="shared" si="29"/>
        <v>0</v>
      </c>
      <c r="BU59" s="1"/>
      <c r="BV59" s="1">
        <f t="shared" si="14"/>
        <v>0</v>
      </c>
      <c r="BW59" s="1" t="e">
        <f t="shared" si="30"/>
        <v>#DIV/0!</v>
      </c>
      <c r="BX59" s="1" t="e">
        <f t="shared" si="31"/>
        <v>#DIV/0!</v>
      </c>
    </row>
    <row r="60" spans="1:76" ht="14.25" customHeight="1" thickBot="1">
      <c r="A60" s="13" t="s">
        <v>159</v>
      </c>
      <c r="B60" s="2"/>
      <c r="C60" s="2"/>
      <c r="D60" s="2"/>
      <c r="E60" s="2"/>
      <c r="F60" s="31">
        <v>38799</v>
      </c>
      <c r="G60" s="2" t="s">
        <v>144</v>
      </c>
      <c r="H60" s="1"/>
      <c r="I60" s="18">
        <v>75</v>
      </c>
      <c r="J60" s="18">
        <v>184</v>
      </c>
      <c r="K60" s="1"/>
      <c r="L60" s="1"/>
      <c r="M60" s="6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8"/>
        <v>46.599999999999994</v>
      </c>
      <c r="Z60" s="1">
        <f t="shared" si="19"/>
        <v>48.400000000000006</v>
      </c>
      <c r="AA60" s="1">
        <f t="shared" si="20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32"/>
        <v>0</v>
      </c>
      <c r="AI60" s="1"/>
      <c r="AJ60" s="1">
        <f t="shared" si="3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18">
        <v>17.5</v>
      </c>
      <c r="AV60" s="1"/>
      <c r="AW60" s="1"/>
      <c r="AX60" s="1"/>
      <c r="AY60" s="1"/>
      <c r="AZ60" s="1"/>
      <c r="BA60" s="1"/>
      <c r="BB60" s="1"/>
      <c r="BC60" s="2">
        <v>314</v>
      </c>
      <c r="BD60" s="1">
        <f t="shared" si="21"/>
        <v>4.1866666666666665</v>
      </c>
      <c r="BE60" s="2">
        <v>340</v>
      </c>
      <c r="BF60" s="1">
        <f t="shared" si="22"/>
        <v>4.5333333333333332</v>
      </c>
      <c r="BG60" s="2">
        <v>195</v>
      </c>
      <c r="BH60" s="1">
        <f t="shared" si="23"/>
        <v>2.6</v>
      </c>
      <c r="BI60" s="2">
        <v>204</v>
      </c>
      <c r="BJ60" s="1">
        <f t="shared" si="24"/>
        <v>2.72</v>
      </c>
      <c r="BK60" s="2">
        <v>170</v>
      </c>
      <c r="BL60" s="1">
        <f t="shared" si="25"/>
        <v>2.2666666666666666</v>
      </c>
      <c r="BM60" s="2">
        <v>177</v>
      </c>
      <c r="BN60" s="1">
        <f t="shared" si="26"/>
        <v>2.36</v>
      </c>
      <c r="BO60" s="2">
        <v>157</v>
      </c>
      <c r="BP60" s="1">
        <f t="shared" si="27"/>
        <v>2.0933333333333333</v>
      </c>
      <c r="BQ60" s="2">
        <v>162</v>
      </c>
      <c r="BR60" s="1">
        <f t="shared" si="28"/>
        <v>2.16</v>
      </c>
      <c r="BS60" s="2">
        <v>210</v>
      </c>
      <c r="BT60" s="1">
        <f t="shared" si="29"/>
        <v>2.8</v>
      </c>
      <c r="BU60" s="2">
        <v>211</v>
      </c>
      <c r="BV60" s="1">
        <f t="shared" si="14"/>
        <v>2.8133333333333335</v>
      </c>
      <c r="BW60" s="1">
        <f t="shared" si="30"/>
        <v>1.0769230769230769</v>
      </c>
      <c r="BX60" s="1">
        <f t="shared" si="31"/>
        <v>1.0343137254901962</v>
      </c>
    </row>
    <row r="61" spans="1:76" ht="14.25" customHeight="1" thickBot="1">
      <c r="A61" s="16" t="s">
        <v>160</v>
      </c>
      <c r="B61" s="2">
        <v>42</v>
      </c>
      <c r="C61" s="2" t="s">
        <v>81</v>
      </c>
      <c r="D61" s="2"/>
      <c r="E61" s="2" t="s">
        <v>137</v>
      </c>
      <c r="F61" s="32">
        <v>38972</v>
      </c>
      <c r="G61" s="2" t="s">
        <v>144</v>
      </c>
      <c r="H61" s="1"/>
      <c r="I61" s="21">
        <v>82.1</v>
      </c>
      <c r="J61" s="21">
        <v>189</v>
      </c>
      <c r="K61" s="1"/>
      <c r="L61" s="6">
        <v>46199</v>
      </c>
      <c r="M61" s="6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8"/>
        <v>51.6</v>
      </c>
      <c r="Z61" s="1">
        <f t="shared" si="19"/>
        <v>41.099999999999994</v>
      </c>
      <c r="AA61" s="1">
        <f t="shared" si="20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32"/>
        <v>0</v>
      </c>
      <c r="AI61" s="1"/>
      <c r="AJ61" s="1">
        <f t="shared" si="3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1">
        <v>17.5</v>
      </c>
      <c r="AV61" s="1"/>
      <c r="AW61" s="1"/>
      <c r="AX61" s="1"/>
      <c r="AY61" s="1"/>
      <c r="AZ61" s="1"/>
      <c r="BA61" s="1"/>
      <c r="BB61" s="1"/>
      <c r="BC61" s="10">
        <v>261</v>
      </c>
      <c r="BD61" s="1">
        <f>BC60/I61</f>
        <v>3.8246041412911085</v>
      </c>
      <c r="BE61" s="2">
        <v>197</v>
      </c>
      <c r="BF61" s="1">
        <f t="shared" si="22"/>
        <v>2.3995127892813644</v>
      </c>
      <c r="BG61" s="2">
        <v>187</v>
      </c>
      <c r="BH61" s="1">
        <f t="shared" si="23"/>
        <v>2.2777101096224119</v>
      </c>
      <c r="BI61" s="2">
        <v>176</v>
      </c>
      <c r="BJ61" s="1">
        <f t="shared" si="24"/>
        <v>2.143727161997564</v>
      </c>
      <c r="BK61" s="2">
        <v>152</v>
      </c>
      <c r="BL61" s="1">
        <f t="shared" si="25"/>
        <v>1.851400730816078</v>
      </c>
      <c r="BM61" s="2">
        <v>143</v>
      </c>
      <c r="BN61" s="1">
        <f t="shared" si="26"/>
        <v>1.7417783191230207</v>
      </c>
      <c r="BO61" s="2">
        <v>121</v>
      </c>
      <c r="BP61" s="1">
        <f t="shared" si="27"/>
        <v>1.4738124238733252</v>
      </c>
      <c r="BQ61" s="2">
        <v>104</v>
      </c>
      <c r="BR61" s="1">
        <f t="shared" si="28"/>
        <v>1.2667478684531062</v>
      </c>
      <c r="BS61" s="2">
        <v>203</v>
      </c>
      <c r="BT61" s="1">
        <f t="shared" si="29"/>
        <v>2.4725943970767359</v>
      </c>
      <c r="BU61" s="2">
        <v>180</v>
      </c>
      <c r="BV61" s="1">
        <f t="shared" si="14"/>
        <v>2.1924482338611453</v>
      </c>
      <c r="BW61" s="1">
        <f t="shared" si="30"/>
        <v>1.0855614973262031</v>
      </c>
      <c r="BX61" s="1">
        <f t="shared" si="31"/>
        <v>1.0227272727272727</v>
      </c>
    </row>
    <row r="62" spans="1:76" ht="14.25" customHeight="1" thickBot="1">
      <c r="A62" s="16" t="s">
        <v>161</v>
      </c>
      <c r="B62" s="2">
        <v>49</v>
      </c>
      <c r="C62" s="2" t="s">
        <v>81</v>
      </c>
      <c r="D62" s="2"/>
      <c r="E62" s="2" t="s">
        <v>103</v>
      </c>
      <c r="F62" s="31">
        <v>39910</v>
      </c>
      <c r="G62" s="2" t="s">
        <v>144</v>
      </c>
      <c r="H62" s="1"/>
      <c r="I62" s="18">
        <v>75.400000000000006</v>
      </c>
      <c r="J62" s="18">
        <v>184.5</v>
      </c>
      <c r="K62" s="1"/>
      <c r="L62" s="6">
        <v>46199</v>
      </c>
      <c r="M62" s="6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8"/>
        <v>64.5</v>
      </c>
      <c r="Z62" s="1">
        <f t="shared" si="19"/>
        <v>45.8</v>
      </c>
      <c r="AA62" s="1">
        <f t="shared" si="20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32"/>
        <v>0</v>
      </c>
      <c r="AI62" s="1"/>
      <c r="AJ62" s="1">
        <f t="shared" si="3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18">
        <v>17</v>
      </c>
      <c r="AV62" s="1"/>
      <c r="AW62" s="1"/>
      <c r="AX62" s="1"/>
      <c r="AY62" s="1"/>
      <c r="AZ62" s="1"/>
      <c r="BA62" s="1"/>
      <c r="BB62" s="1"/>
      <c r="BC62" s="2">
        <v>214</v>
      </c>
      <c r="BD62" s="1">
        <f t="shared" ref="BD62:BD63" si="34">BC62/I62</f>
        <v>2.8381962864721482</v>
      </c>
      <c r="BE62" s="2">
        <v>281</v>
      </c>
      <c r="BF62" s="1">
        <f t="shared" si="22"/>
        <v>3.7267904509283816</v>
      </c>
      <c r="BG62" s="2">
        <v>159</v>
      </c>
      <c r="BH62" s="1">
        <f t="shared" si="23"/>
        <v>2.1087533156498672</v>
      </c>
      <c r="BI62" s="2">
        <v>180</v>
      </c>
      <c r="BJ62" s="1">
        <f t="shared" si="24"/>
        <v>2.3872679045092835</v>
      </c>
      <c r="BK62" s="2">
        <v>148</v>
      </c>
      <c r="BL62" s="1">
        <f t="shared" si="25"/>
        <v>1.9628647214854109</v>
      </c>
      <c r="BM62" s="2">
        <v>155</v>
      </c>
      <c r="BN62" s="1">
        <f t="shared" si="26"/>
        <v>2.0557029177718831</v>
      </c>
      <c r="BO62" s="2">
        <v>152</v>
      </c>
      <c r="BP62" s="1">
        <f t="shared" si="27"/>
        <v>2.0159151193633953</v>
      </c>
      <c r="BQ62" s="2">
        <v>114</v>
      </c>
      <c r="BR62" s="1">
        <f t="shared" si="28"/>
        <v>1.5119363395225462</v>
      </c>
      <c r="BS62" s="2">
        <v>175</v>
      </c>
      <c r="BT62" s="1">
        <f t="shared" si="29"/>
        <v>2.3209549071618034</v>
      </c>
      <c r="BU62" s="2">
        <v>175</v>
      </c>
      <c r="BV62" s="1">
        <f t="shared" si="14"/>
        <v>2.3209549071618034</v>
      </c>
      <c r="BW62" s="1">
        <f t="shared" si="30"/>
        <v>1.10062893081761</v>
      </c>
      <c r="BX62" s="1">
        <f t="shared" si="31"/>
        <v>0.97222222222222221</v>
      </c>
    </row>
    <row r="63" spans="1:76" ht="14.25" customHeight="1" thickBot="1">
      <c r="A63" s="16" t="s">
        <v>162</v>
      </c>
      <c r="B63" s="2">
        <v>56</v>
      </c>
      <c r="C63" s="2" t="s">
        <v>81</v>
      </c>
      <c r="D63" s="2"/>
      <c r="E63" s="2" t="s">
        <v>85</v>
      </c>
      <c r="F63" s="32">
        <v>39821</v>
      </c>
      <c r="G63" s="2" t="s">
        <v>144</v>
      </c>
      <c r="H63" s="2">
        <v>17</v>
      </c>
      <c r="I63" s="21">
        <v>66</v>
      </c>
      <c r="J63" s="21">
        <v>173</v>
      </c>
      <c r="K63" s="1"/>
      <c r="L63" s="1"/>
      <c r="M63" s="6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8"/>
        <v>0</v>
      </c>
      <c r="Z63" s="1">
        <f t="shared" si="19"/>
        <v>0</v>
      </c>
      <c r="AA63" s="1" t="e">
        <f t="shared" si="20"/>
        <v>#DIV/0!</v>
      </c>
      <c r="AB63" s="1"/>
      <c r="AC63" s="1"/>
      <c r="AD63" s="1"/>
      <c r="AE63" s="1"/>
      <c r="AF63" s="1"/>
      <c r="AG63" s="1"/>
      <c r="AH63" s="1">
        <f t="shared" si="32"/>
        <v>0</v>
      </c>
      <c r="AI63" s="1"/>
      <c r="AJ63" s="1">
        <f t="shared" si="3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1">
        <v>17.5</v>
      </c>
      <c r="AV63" s="1"/>
      <c r="AW63" s="1"/>
      <c r="AX63" s="1"/>
      <c r="AY63" s="1"/>
      <c r="AZ63" s="1"/>
      <c r="BA63" s="1"/>
      <c r="BB63" s="1"/>
      <c r="BC63" s="1"/>
      <c r="BD63" s="1">
        <f t="shared" si="34"/>
        <v>0</v>
      </c>
      <c r="BE63" s="1"/>
      <c r="BF63" s="1">
        <f t="shared" si="22"/>
        <v>0</v>
      </c>
      <c r="BG63" s="1"/>
      <c r="BH63" s="1">
        <f t="shared" si="23"/>
        <v>0</v>
      </c>
      <c r="BI63" s="1"/>
      <c r="BJ63" s="1">
        <f t="shared" si="24"/>
        <v>0</v>
      </c>
      <c r="BK63" s="1"/>
      <c r="BL63" s="1">
        <f t="shared" si="25"/>
        <v>0</v>
      </c>
      <c r="BN63" s="1">
        <f>BM62/I63</f>
        <v>2.3484848484848486</v>
      </c>
      <c r="BO63" s="1"/>
      <c r="BP63" s="1">
        <f t="shared" si="27"/>
        <v>0</v>
      </c>
      <c r="BQ63" s="1"/>
      <c r="BR63" s="1">
        <f t="shared" si="28"/>
        <v>0</v>
      </c>
      <c r="BS63" s="1"/>
      <c r="BT63" s="1">
        <f t="shared" si="29"/>
        <v>0</v>
      </c>
      <c r="BU63" s="1"/>
      <c r="BV63" s="1">
        <f t="shared" si="14"/>
        <v>0</v>
      </c>
      <c r="BW63" s="1" t="e">
        <f t="shared" si="30"/>
        <v>#DIV/0!</v>
      </c>
      <c r="BX63" s="1" t="e">
        <f t="shared" si="31"/>
        <v>#DIV/0!</v>
      </c>
    </row>
    <row r="64" spans="1:76" ht="14.25" customHeight="1" thickBot="1">
      <c r="A64" s="2" t="s">
        <v>163</v>
      </c>
      <c r="B64" s="2">
        <v>73</v>
      </c>
      <c r="C64" s="2" t="s">
        <v>81</v>
      </c>
      <c r="D64" s="2"/>
      <c r="E64" s="2" t="s">
        <v>85</v>
      </c>
      <c r="F64" s="31">
        <v>39244</v>
      </c>
      <c r="G64" s="2" t="s">
        <v>117</v>
      </c>
      <c r="H64" s="2">
        <v>19</v>
      </c>
      <c r="I64" s="18">
        <v>80.099999999999994</v>
      </c>
      <c r="J64" s="18">
        <v>183</v>
      </c>
      <c r="K64" s="1"/>
      <c r="L64" s="17">
        <v>46197</v>
      </c>
      <c r="M64" s="6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8"/>
        <v>0</v>
      </c>
      <c r="Z64" s="1">
        <f t="shared" si="19"/>
        <v>0</v>
      </c>
      <c r="AA64" s="1" t="e">
        <f t="shared" si="20"/>
        <v>#DIV/0!</v>
      </c>
      <c r="AB64" s="1"/>
      <c r="AC64" s="1"/>
      <c r="AD64" s="1"/>
      <c r="AE64" s="1"/>
      <c r="AF64" s="1"/>
      <c r="AG64" s="1"/>
      <c r="AH64" s="1">
        <f t="shared" si="3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>
        <f t="shared" si="14"/>
        <v>0</v>
      </c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2026-07-02T10:25:43Z</dcterms:modified>
</cp:coreProperties>
</file>